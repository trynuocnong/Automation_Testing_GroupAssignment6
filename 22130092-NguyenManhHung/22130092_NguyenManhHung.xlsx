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T14\Downloads\"/>
    </mc:Choice>
  </mc:AlternateContent>
  <xr:revisionPtr revIDLastSave="0" documentId="13_ncr:1_{3F459673-1C15-470A-8490-094347E633BD}" xr6:coauthVersionLast="47" xr6:coauthVersionMax="47" xr10:uidLastSave="{00000000-0000-0000-0000-000000000000}"/>
  <bookViews>
    <workbookView xWindow="-108" yWindow="-108" windowWidth="23256" windowHeight="12456" tabRatio="821" xr2:uid="{4D9CA0B7-E5F1-4E4A-86AE-AB9D8563DA88}"/>
  </bookViews>
  <sheets>
    <sheet name="Cover" sheetId="1" r:id="rId1"/>
    <sheet name="Test case List" sheetId="2" r:id="rId2"/>
    <sheet name="TestDesign" sheetId="6" r:id="rId3"/>
    <sheet name="Module7" sheetId="3" r:id="rId4"/>
    <sheet name="Module10" sheetId="4" r:id="rId5"/>
    <sheet name="Test Report" sheetId="5" r:id="rId6"/>
  </sheets>
  <definedNames>
    <definedName name="_xlnm._FilterDatabase" localSheetId="4" hidden="1">Module10!$A$8:$H$13</definedName>
    <definedName name="_xlnm._FilterDatabase" localSheetId="3" hidden="1">Module7!$A$8:$H$14</definedName>
    <definedName name="_xlnm._FilterDatabase" localSheetId="2" hidden="1">TestDesign!$A$1:$F$14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TestDesign!$A$1:$F$12</definedName>
  </definedNames>
  <calcPr calcId="191029"/>
</workbook>
</file>

<file path=xl/calcChain.xml><?xml version="1.0" encoding="utf-8"?>
<calcChain xmlns="http://schemas.openxmlformats.org/spreadsheetml/2006/main">
  <c r="A6" i="4" l="1"/>
  <c r="C6" i="1"/>
  <c r="D3" i="2"/>
  <c r="D4" i="2"/>
  <c r="A6" i="3"/>
  <c r="D10" i="5" s="1"/>
  <c r="B6" i="3"/>
  <c r="E10" i="5" s="1"/>
  <c r="E13" i="5" s="1"/>
  <c r="D6" i="3"/>
  <c r="G10" i="5" s="1"/>
  <c r="G13" i="5" s="1"/>
  <c r="E6" i="3"/>
  <c r="H10" i="5" s="1"/>
  <c r="H13" i="5" s="1"/>
  <c r="F6" i="3"/>
  <c r="I10" i="5" s="1"/>
  <c r="B6" i="4"/>
  <c r="D6" i="4"/>
  <c r="E6" i="4"/>
  <c r="F6" i="4"/>
  <c r="I11" i="5" s="1"/>
  <c r="C5" i="5"/>
  <c r="E11" i="5"/>
  <c r="G11" i="5"/>
  <c r="H11" i="5"/>
  <c r="I13" i="5" l="1"/>
  <c r="C6" i="4"/>
  <c r="F11" i="5" s="1"/>
  <c r="D11" i="5"/>
  <c r="D13" i="5"/>
  <c r="E16" i="5" s="1"/>
  <c r="C6" i="3"/>
  <c r="F10" i="5" s="1"/>
  <c r="F13" i="5" l="1"/>
  <c r="E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E30175AE-D97E-4809-A610-2BBEC50140F4}">
      <text>
        <r>
          <rPr>
            <b/>
            <sz val="10"/>
            <color indexed="8"/>
            <rFont val="Times New Roman"/>
            <family val="1"/>
            <charset val="254"/>
          </rPr>
          <t>*A</t>
        </r>
        <r>
          <rPr>
            <sz val="10"/>
            <color indexed="8"/>
            <rFont val="Times New Roman"/>
            <family val="1"/>
            <charset val="254"/>
          </rPr>
          <t xml:space="preserve">: Add
  </t>
        </r>
        <r>
          <rPr>
            <b/>
            <sz val="10"/>
            <color indexed="8"/>
            <rFont val="Times New Roman"/>
            <family val="1"/>
            <charset val="254"/>
          </rPr>
          <t>M</t>
        </r>
        <r>
          <rPr>
            <sz val="10"/>
            <color indexed="8"/>
            <rFont val="Times New Roman"/>
            <family val="1"/>
            <charset val="254"/>
          </rPr>
          <t xml:space="preserve">: Modify
  </t>
        </r>
        <r>
          <rPr>
            <b/>
            <sz val="10"/>
            <color indexed="8"/>
            <rFont val="Times New Roman"/>
            <family val="1"/>
            <charset val="254"/>
          </rPr>
          <t>D</t>
        </r>
        <r>
          <rPr>
            <sz val="10"/>
            <color indexed="8"/>
            <rFont val="Times New Roman"/>
            <family val="1"/>
            <charset val="25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Lanh</author>
  </authors>
  <commentList>
    <comment ref="C1" authorId="0" shapeId="0" xr:uid="{1D0F13F6-EE2F-4C79-BAF7-5D7FACDBDCC3}">
      <text>
        <r>
          <rPr>
            <b/>
            <sz val="8"/>
            <rFont val="Tahoma"/>
            <family val="2"/>
            <charset val="254"/>
          </rPr>
          <t>Tran Thi Lanh:</t>
        </r>
        <r>
          <rPr>
            <sz val="8"/>
            <rFont val="Tahoma"/>
            <family val="2"/>
            <charset val="254"/>
          </rPr>
          <t xml:space="preserve">
It does not required to have 3 requirement levels. It depends on your decentralization.</t>
        </r>
      </text>
    </comment>
    <comment ref="D1" authorId="0" shapeId="0" xr:uid="{4D5BEB8F-8A5E-4250-B689-3EDF7968164A}">
      <text>
        <r>
          <rPr>
            <b/>
            <sz val="8"/>
            <rFont val="Tahoma"/>
            <family val="2"/>
            <charset val="254"/>
          </rPr>
          <t>Tran Thi Lanh:</t>
        </r>
        <r>
          <rPr>
            <sz val="8"/>
            <rFont val="Tahoma"/>
            <family val="2"/>
            <charset val="254"/>
          </rPr>
          <t xml:space="preserve">
Brief description about the case you'll check</t>
        </r>
      </text>
    </comment>
    <comment ref="E1" authorId="0" shapeId="0" xr:uid="{A468C253-F2B9-4D2C-BB72-222001CBC0C5}">
      <text>
        <r>
          <rPr>
            <b/>
            <sz val="8"/>
            <rFont val="Tahoma"/>
            <family val="2"/>
            <charset val="254"/>
          </rPr>
          <t>Tran Thi Lanh:</t>
        </r>
        <r>
          <rPr>
            <sz val="8"/>
            <rFont val="Tahoma"/>
            <family val="2"/>
            <charset val="254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B7A3FEC-58E4-4B78-B03B-5BEC874C8883}">
      <text>
        <r>
          <rPr>
            <b/>
            <sz val="8"/>
            <color indexed="8"/>
            <rFont val="Times New Roman"/>
            <family val="1"/>
            <charset val="254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32871717-24A9-40FB-987E-8F1D75040DC0}">
      <text>
        <r>
          <rPr>
            <b/>
            <sz val="8"/>
            <color indexed="8"/>
            <rFont val="Times New Roman"/>
            <family val="1"/>
            <charset val="25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<sst xmlns="http://schemas.openxmlformats.org/spreadsheetml/2006/main" count="284" uniqueCount="197">
  <si>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</si>
  <si>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</si>
  <si>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</si>
  <si>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</si>
  <si>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</si>
  <si>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</si>
  <si>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</si>
  <si>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</si>
  <si>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</si>
  <si>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</si>
  <si>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</si>
  <si>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</si>
  <si>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</si>
  <si>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</si>
  <si>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</si>
  <si>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</si>
  <si>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</si>
  <si>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</si>
  <si>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15/11/2025</t>
  </si>
  <si>
    <t>15/11/2026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</si>
  <si>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</si>
  <si>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</si>
  <si>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</si>
  <si>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</si>
  <si>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</si>
  <si>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</si>
  <si>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</si>
  <si>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</si>
  <si>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</si>
  <si>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</si>
  <si>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</si>
  <si>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</si>
  <si>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</si>
  <si>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</si>
  <si>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UI Interaction</t>
  </si>
  <si>
    <t>GUI</t>
  </si>
  <si>
    <t>Function</t>
  </si>
  <si>
    <t>Validation</t>
  </si>
  <si>
    <t>Module Code</t>
  </si>
  <si>
    <t>Passed</t>
  </si>
  <si>
    <t>Test requirement</t>
  </si>
  <si>
    <t xml:space="preserve">TRẠNG THÁI UI/UX DESKTOP </t>
  </si>
  <si>
    <t>Failed</t>
  </si>
  <si>
    <t>Tester</t>
  </si>
  <si>
    <t>Từ Châu Hoàng Thắng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</si>
  <si>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</si>
  <si>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</si>
  <si>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</si>
  <si>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</si>
  <si>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</si>
  <si>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</si>
  <si>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</si>
  <si>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</si>
  <si>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</si>
  <si>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</si>
  <si>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</si>
  <si>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Function A</t>
  </si>
  <si>
    <t>UI must load</t>
  </si>
  <si>
    <t>- Movie bị xóa khỏi danh sách Watchlist ngay lập tức
- Hiển thị toast "Removed from Watchlist"
- Watchlist count giảm 1 (nếu có)</t>
  </si>
  <si>
    <t>TEST REPORT</t>
  </si>
  <si>
    <t>hdtodayz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</si>
  <si>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</si>
  <si>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</si>
  <si>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</si>
  <si>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</si>
  <si>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</si>
  <si>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</si>
  <si>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</si>
  <si>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</si>
  <si>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</si>
  <si>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</si>
  <si>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</si>
  <si>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 xml:space="preserve">S07 </t>
  </si>
  <si>
    <t>S10</t>
  </si>
  <si>
    <t>Thêm TescaseList , TestDesign, Module7</t>
  </si>
  <si>
    <t>Thêm TescaseList , TestDesign, Module10</t>
  </si>
  <si>
    <t>Data-Driven Testing - Search</t>
  </si>
  <si>
    <t>Module7</t>
  </si>
  <si>
    <t>Module10</t>
  </si>
  <si>
    <t>Trang Danh sách Phim &amp; Sorting</t>
  </si>
  <si>
    <t>Search Bar</t>
  </si>
  <si>
    <t>Nhập từ khóa vào ô search, nhấn Enter</t>
  </si>
  <si>
    <t>GUI/Function</t>
  </si>
  <si>
    <t>Data Driven</t>
  </si>
  <si>
    <t>Multi-Data Input</t>
  </si>
  <si>
    <t>Chạy lặp 7 bộ test data từ file CSV</t>
  </si>
  <si>
    <t>Automation</t>
  </si>
  <si>
    <t>Positive Case</t>
  </si>
  <si>
    <t>Từ khóa hợp lệ → trả về tiêu đề đúng</t>
  </si>
  <si>
    <t>Negative Case</t>
  </si>
  <si>
    <t>Từ khóa không tồn tại → hiển thị “No results found.”</t>
  </si>
  <si>
    <t>Result Display</t>
  </si>
  <si>
    <t>Consistency</t>
  </si>
  <si>
    <t>Kiểm thử giao diện + chức năng</t>
  </si>
  <si>
    <t>View Mode</t>
  </si>
  <si>
    <t>Sorting</t>
  </si>
  <si>
    <t>Pagination</t>
  </si>
  <si>
    <t>Sử dụng Katalon Recorder / Selenium</t>
  </si>
  <si>
    <t>Kiểm tra tiêu đề kết quả khớp expected_result</t>
  </si>
  <si>
    <t>Format chữ thường / hoa phải chính xác</t>
  </si>
  <si>
    <t>Kiểm tra UI + text</t>
  </si>
  <si>
    <t>Ví dụ: "Search results for 'dune'"</t>
  </si>
  <si>
    <t>7.UI/UX</t>
  </si>
  <si>
    <t>10.Watchlist</t>
  </si>
  <si>
    <t>Default Grid</t>
  </si>
  <si>
    <t>Default Sort</t>
  </si>
  <si>
    <t>Latest</t>
  </si>
  <si>
    <t>Most Viewed</t>
  </si>
  <si>
    <t>Rating / Top IMDB</t>
  </si>
  <si>
    <t>Load Next Page</t>
  </si>
  <si>
    <t>Truy cập trang “Movies” → hiển thị dạng Grid</t>
  </si>
  <si>
    <t>Kiểm tra “Sort by” hiển thị giá trị mặc định</t>
  </si>
  <si>
    <t>Chọn Sort by → Latest → phim đầu tiên là mới nhất</t>
  </si>
  <si>
    <t>Chọn Sort by → Most Viewed → thứ tự danh sách thay đổi</t>
  </si>
  <si>
    <t>Chọn Sort by → Rating → phim đầu tiên có điểm cao nhất</t>
  </si>
  <si>
    <t>Nhấp “Page 2” hoặc “Next” → hiển thị trang 2</t>
  </si>
  <si>
    <t>div.film_list-grid phải tồn tại</t>
  </si>
  <si>
    <t>“Sort by: Default” hoặc “Latest”</t>
  </si>
  <si>
    <t>Dựa theo năm phát hành 2024/2025</t>
  </si>
  <si>
    <t>So sánh với danh sách mặc định</t>
  </si>
  <si>
    <t>Ví dụ: rating 9.0+</t>
  </si>
  <si>
    <t>URL cập nhật: ?page=2</t>
  </si>
  <si>
    <t>[TC07_01]</t>
  </si>
  <si>
    <t>Kiểm tra UI Search bar (hover + focus).</t>
  </si>
  <si>
    <t>Điều hướng đến trang Home hoặc Movies có ô Search.
Di chuột (hover) vào Search bar.
Click vào Search bar để focus.</t>
  </si>
  <si>
    <t>Border hoặc shadow thay đổi khi hover.
Cursor hiển thị dạng text (I-beam).
Khi focus: outline rõ ràng, không nhấp nháy.</t>
  </si>
  <si>
    <t>Hover + focus animation OK</t>
  </si>
  <si>
    <t>[TC07_02]</t>
  </si>
  <si>
    <t>Search với dữ liệu không hợp lệ.</t>
  </si>
  <si>
    <t>Nhập một chuỗi không tồn tại (ví dụ “asdfghjkl”).
Nhấn Enter.</t>
  </si>
  <si>
    <t>Hiển thị thông báo: “No results found.”
Không có card phim hiển thị.</t>
  </si>
  <si>
    <t>Must run after TC07_02</t>
  </si>
  <si>
    <t>Empty state displayed correctly</t>
  </si>
  <si>
    <t>Click vào Search bar.
Nhập từ khóa bất kỳ (ví dụ: “dune”).
Nhấn Enter.</t>
  </si>
  <si>
    <t>Nhập từ khóa và nhấn Enter.</t>
  </si>
  <si>
    <t>Điều hướng đến trang kết quả tìm kiếm.
Tiêu đề: Search results for "dune".</t>
  </si>
  <si>
    <t>Search input enabled</t>
  </si>
  <si>
    <t>Navigation smooth</t>
  </si>
  <si>
    <t>[TC07_03]</t>
  </si>
  <si>
    <t>[TC07_04]</t>
  </si>
  <si>
    <t>[TC07_05]</t>
  </si>
  <si>
    <t>[TC07_06]</t>
  </si>
  <si>
    <t>Data Driven Search (Dữ liệu 1).</t>
  </si>
  <si>
    <t>Nhập từ khóa từ file CSV: Godzilla.
Nhấn Enter.
Quan sát tiêu đề kết quả.</t>
  </si>
  <si>
    <t>Search results for "godzilla"</t>
  </si>
  <si>
    <t>Data file loaded</t>
  </si>
  <si>
    <t>Case-insensitive OK</t>
  </si>
  <si>
    <t>Nhập từ khóa CSV: Oppenheimer.
Nhấn Enter.</t>
  </si>
  <si>
    <t>Search results for "oppenheimer"</t>
  </si>
  <si>
    <t>Consistent result title</t>
  </si>
  <si>
    <t>Data Driven Search (Dữ liệu 3).</t>
  </si>
  <si>
    <t>Nhập từ khóa CSV: Spider-Man.
Nhấn Enter.</t>
  </si>
  <si>
    <t>Search results for "spider-man"</t>
  </si>
  <si>
    <t>Symbol handling OK</t>
  </si>
  <si>
    <t>[TC07_07]</t>
  </si>
  <si>
    <t>Data Driven Search (Dữ liệu 4).</t>
  </si>
  <si>
    <t>Nhập từ khóa CSV: Kung Fu Panda.
Nhấn Enter.</t>
  </si>
  <si>
    <t>Search results for "kung fu panda"</t>
  </si>
  <si>
    <t>Multi-word search OK</t>
  </si>
  <si>
    <t>Nguyễn Mạnh Hùng</t>
  </si>
  <si>
    <t>S07</t>
  </si>
  <si>
    <t>MOVIE LIST UI + SORTING</t>
  </si>
  <si>
    <t>[TC10_01]</t>
  </si>
  <si>
    <t xml:space="preserve">Kiểm tra giao diện grid trên trang Movies.
</t>
  </si>
  <si>
    <t>Điều hướng đến trang /movies.
Quan sát danh sách hiển thị.</t>
  </si>
  <si>
    <t>Các card phim hiển thị dạng grid.
Khoảng cách giữa các card đồng đều.
Không bị lệch layout.</t>
  </si>
  <si>
    <t>Grid layout stable</t>
  </si>
  <si>
    <t>[TC10_02]</t>
  </si>
  <si>
    <t>Kiểm tra Sort mặc định.</t>
  </si>
  <si>
    <t>Truy cập /movies.
Kiểm tra dropdown “Sort by”.</t>
  </si>
  <si>
    <t>Hiển thị mặc định: “Latest” hoặc “Default”.
Không bị auto-sort sai.</t>
  </si>
  <si>
    <t>TC10_01</t>
  </si>
  <si>
    <t>Default sort correct</t>
  </si>
  <si>
    <t>[TC10_03]</t>
  </si>
  <si>
    <t>Mở dropdown Sort by.
Chọn “Latest”.
Quan sát phim đầu tiên.</t>
  </si>
  <si>
    <t>Phim hiển thị đầu tiên là phim mới nhất (năm 2024/2025).</t>
  </si>
  <si>
    <t>Sort dropdown enabled</t>
  </si>
  <si>
    <t>Year ordering OK</t>
  </si>
  <si>
    <t>[TC10_04]</t>
  </si>
  <si>
    <t>Sort by Most Viewed.</t>
  </si>
  <si>
    <t>Chọn “Most Viewed”.
Quan sát sự thay đổi thứ tự danh sách.</t>
  </si>
  <si>
    <t>Danh sách thay đổi so với “Latest”.
Phim top view hiển thị đầu tiên.</t>
  </si>
  <si>
    <t>TC10_03</t>
  </si>
  <si>
    <t>View count sorting correct</t>
  </si>
  <si>
    <t>[TC10_05]</t>
  </si>
  <si>
    <t>Sort by Rating (Top IMDB).</t>
  </si>
  <si>
    <t>Chọn “Rating / Top IMDB”.
Kiểm tra card đầu tiên.</t>
  </si>
  <si>
    <t>Phim có rating cao nhất hiển thị đầu tiên.
Không sai lệch điểm.</t>
  </si>
  <si>
    <t>Rating data loaded</t>
  </si>
  <si>
    <t>Rating descending OK</t>
  </si>
  <si>
    <t>[TC10_06]</t>
  </si>
  <si>
    <t>Pagination page 2.</t>
  </si>
  <si>
    <t>Tại trang Movies, chọn “Page 2”.
Quan sát nội dung.</t>
  </si>
  <si>
    <t>Hiển thị danh sách phim trang 2.
URL thay đổi: ?page=2.</t>
  </si>
  <si>
    <t>Pagination backend pending</t>
  </si>
  <si>
    <t>S010</t>
  </si>
  <si>
    <t>Data Driven Search (Dữ liệu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</si>
</sst>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9">
    <font>
      <sz val="11"/>
      <name val="ＭＳ Ｐゴシック"/>
      <family val="2"/>
      <charset val="254"/>
    </font>
    <font>
      <sz val="10"/>
      <name val="Tahoma"/>
      <family val="2"/>
      <charset val="254"/>
    </font>
    <font>
      <b/>
      <sz val="20"/>
      <color indexed="8"/>
      <name val="Tahoma"/>
      <family val="2"/>
      <charset val="254"/>
    </font>
    <font>
      <b/>
      <sz val="10"/>
      <name val="Tahoma"/>
      <family val="2"/>
      <charset val="254"/>
    </font>
    <font>
      <b/>
      <sz val="10"/>
      <color indexed="60"/>
      <name val="Tahoma"/>
      <family val="2"/>
      <charset val="254"/>
    </font>
    <font>
      <i/>
      <sz val="10"/>
      <color indexed="17"/>
      <name val="Tahoma"/>
      <family val="2"/>
      <charset val="254"/>
    </font>
    <font>
      <b/>
      <sz val="10"/>
      <color indexed="9"/>
      <name val="Tahoma"/>
      <family val="2"/>
      <charset val="254"/>
    </font>
    <font>
      <sz val="10"/>
      <color indexed="9"/>
      <name val="Tahoma"/>
      <family val="2"/>
      <charset val="254"/>
    </font>
    <font>
      <b/>
      <sz val="10"/>
      <color indexed="12"/>
      <name val="Tahoma"/>
      <family val="2"/>
      <charset val="254"/>
    </font>
    <font>
      <sz val="10"/>
      <color indexed="8"/>
      <name val="Tahoma"/>
      <family val="2"/>
      <charset val="254"/>
    </font>
    <font>
      <sz val="10"/>
      <color indexed="10"/>
      <name val="Tahoma"/>
      <family val="2"/>
      <charset val="254"/>
    </font>
    <font>
      <b/>
      <sz val="10"/>
      <color indexed="8"/>
      <name val="Tahoma"/>
      <family val="2"/>
      <charset val="254"/>
    </font>
    <font>
      <sz val="10"/>
      <name val="Times New Roman"/>
      <family val="1"/>
      <charset val="254"/>
    </font>
    <font>
      <b/>
      <sz val="10"/>
      <color indexed="10"/>
      <name val="Tahoma"/>
      <family val="2"/>
      <charset val="254"/>
    </font>
    <font>
      <b/>
      <sz val="10"/>
      <color indexed="9"/>
      <name val="Times New Roman"/>
      <family val="1"/>
      <charset val="254"/>
    </font>
    <font>
      <b/>
      <sz val="10"/>
      <name val="Times New Roman"/>
      <family val="1"/>
      <charset val="254"/>
    </font>
    <font>
      <sz val="10"/>
      <color indexed="8"/>
      <name val="Times New Roman"/>
      <family val="1"/>
      <charset val="254"/>
    </font>
    <font>
      <u/>
      <sz val="10"/>
      <color indexed="12"/>
      <name val="Tahoma"/>
      <family val="2"/>
      <charset val="254"/>
    </font>
    <font>
      <sz val="11"/>
      <name val="Times New Roman"/>
      <family val="1"/>
      <charset val="254"/>
    </font>
    <font>
      <b/>
      <sz val="22"/>
      <color indexed="10"/>
      <name val="Tahoma"/>
      <family val="2"/>
      <charset val="254"/>
    </font>
    <font>
      <u/>
      <sz val="11"/>
      <color indexed="12"/>
      <name val="ＭＳ Ｐゴシック"/>
      <family val="2"/>
      <charset val="254"/>
    </font>
    <font>
      <sz val="9"/>
      <name val="ＭＳ ゴシック"/>
      <family val="3"/>
      <charset val="254"/>
    </font>
    <font>
      <b/>
      <sz val="10"/>
      <color indexed="8"/>
      <name val="Times New Roman"/>
      <family val="1"/>
      <charset val="254"/>
    </font>
    <font>
      <b/>
      <sz val="8"/>
      <name val="Tahoma"/>
      <family val="2"/>
      <charset val="254"/>
    </font>
    <font>
      <sz val="8"/>
      <name val="Tahoma"/>
      <family val="2"/>
      <charset val="254"/>
    </font>
    <font>
      <b/>
      <sz val="8"/>
      <color indexed="8"/>
      <name val="Times New Roman"/>
      <family val="1"/>
      <charset val="254"/>
    </font>
    <font>
      <sz val="11"/>
      <name val="ＭＳ Ｐゴシック"/>
      <family val="2"/>
      <charset val="254"/>
    </font>
    <font>
      <sz val="11"/>
      <color theme="1"/>
      <name val="Calibri"/>
      <family val="2"/>
      <charset val="254"/>
      <scheme val="minor"/>
    </font>
    <font>
      <sz val="10"/>
      <color theme="1"/>
      <name val="Times New Roman"/>
      <family val="1"/>
      <charset val="254"/>
    </font>
    <font>
      <sz val="10"/>
      <color rgb="FF000000"/>
      <name val="Tahoma"/>
      <family val="2"/>
      <charset val="254"/>
    </font>
    <font>
      <sz val="10"/>
      <color theme="1"/>
      <name val="Tahoma"/>
      <family val="2"/>
      <charset val="254"/>
    </font>
    <font>
      <sz val="10"/>
      <color rgb="FF1B1C1D"/>
      <name val="Times New Roman"/>
      <family val="1"/>
      <charset val="254"/>
    </font>
    <font>
      <b/>
      <sz val="10"/>
      <color theme="1"/>
      <name val="Calibri"/>
      <family val="2"/>
      <charset val="254"/>
      <scheme val="minor"/>
    </font>
    <font>
      <sz val="10"/>
      <color theme="1"/>
      <name val="Calibri"/>
      <family val="2"/>
      <charset val="254"/>
      <scheme val="minor"/>
    </font>
    <font>
      <sz val="10"/>
      <color theme="1"/>
      <name val="Arial"/>
      <family val="2"/>
      <charset val="254"/>
    </font>
    <font>
      <u/>
      <sz val="10"/>
      <color rgb="FF800080"/>
      <name val="Tahoma"/>
      <family val="2"/>
      <charset val="254"/>
    </font>
    <font>
      <sz val="12"/>
      <color rgb="FF1B1C1D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26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/>
      <diagonal/>
    </border>
  </borders>
  <cellStyleXfs count="7">
    <xf numFmtId="0" fontId="0" fillId="0" borderId="0"/>
    <xf numFmtId="0" fontId="20" fillId="0" borderId="0" applyNumberForma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1" fillId="0" borderId="0"/>
  </cellStyleXfs>
  <cellXfs count="181">
    <xf numFmtId="0" fontId="0" fillId="0" borderId="0" xfId="0"/>
    <xf numFmtId="0" fontId="1" fillId="2" borderId="0" xfId="0" applyFont="1" applyFill="1"/>
    <xf numFmtId="0" fontId="3" fillId="2" borderId="0" xfId="4" applyFont="1" applyFill="1"/>
    <xf numFmtId="0" fontId="1" fillId="2" borderId="0" xfId="4" applyFont="1" applyFill="1"/>
    <xf numFmtId="164" fontId="1" fillId="2" borderId="0" xfId="4" applyNumberFormat="1" applyFont="1" applyFill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4" fillId="2" borderId="0" xfId="0" applyFont="1" applyFill="1"/>
    <xf numFmtId="0" fontId="5" fillId="2" borderId="0" xfId="4" applyFont="1" applyFill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6" fillId="3" borderId="12" xfId="0" applyFont="1" applyFill="1" applyBorder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8" fillId="2" borderId="0" xfId="0" applyNumberFormat="1" applyFont="1" applyFill="1" applyAlignment="1">
      <alignment horizontal="right" wrapText="1"/>
    </xf>
    <xf numFmtId="0" fontId="9" fillId="2" borderId="0" xfId="0" applyFont="1" applyFill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vertical="top"/>
    </xf>
    <xf numFmtId="0" fontId="10" fillId="2" borderId="0" xfId="0" applyFont="1" applyFill="1"/>
    <xf numFmtId="0" fontId="9" fillId="2" borderId="15" xfId="0" applyFont="1" applyFill="1" applyBorder="1"/>
    <xf numFmtId="0" fontId="9" fillId="2" borderId="15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2" borderId="16" xfId="5" applyFont="1" applyFill="1" applyBorder="1" applyAlignment="1">
      <alignment horizontal="left" wrapText="1"/>
    </xf>
    <xf numFmtId="0" fontId="3" fillId="2" borderId="18" xfId="5" applyFont="1" applyFill="1" applyBorder="1" applyAlignment="1">
      <alignment horizontal="left" wrapText="1"/>
    </xf>
    <xf numFmtId="0" fontId="11" fillId="2" borderId="18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vertical="center" wrapText="1"/>
    </xf>
    <xf numFmtId="0" fontId="9" fillId="2" borderId="1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6" fillId="3" borderId="20" xfId="5" applyFont="1" applyFill="1" applyBorder="1" applyAlignment="1">
      <alignment horizontal="center" vertical="center" wrapText="1"/>
    </xf>
    <xf numFmtId="0" fontId="1" fillId="2" borderId="1" xfId="5" applyFont="1" applyFill="1" applyBorder="1" applyAlignment="1">
      <alignment vertical="top" wrapText="1"/>
    </xf>
    <xf numFmtId="0" fontId="28" fillId="2" borderId="1" xfId="5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left" vertical="top" wrapText="1"/>
    </xf>
    <xf numFmtId="0" fontId="30" fillId="2" borderId="1" xfId="5" applyFont="1" applyFill="1" applyBorder="1" applyAlignment="1">
      <alignment vertical="top" wrapText="1"/>
    </xf>
    <xf numFmtId="0" fontId="12" fillId="2" borderId="1" xfId="5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31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2" borderId="0" xfId="5" applyFont="1" applyFill="1" applyAlignment="1">
      <alignment vertical="top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13" fillId="2" borderId="0" xfId="5" applyFont="1" applyFill="1" applyAlignment="1">
      <alignment horizontal="center" vertical="center" wrapText="1"/>
    </xf>
    <xf numFmtId="0" fontId="10" fillId="2" borderId="0" xfId="0" applyFont="1" applyFill="1" applyAlignment="1">
      <alignment vertical="top" wrapText="1"/>
    </xf>
    <xf numFmtId="0" fontId="13" fillId="2" borderId="0" xfId="5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14" fillId="3" borderId="1" xfId="5" applyFont="1" applyFill="1" applyBorder="1" applyAlignment="1">
      <alignment horizontal="center" vertical="center" wrapText="1"/>
    </xf>
    <xf numFmtId="0" fontId="14" fillId="3" borderId="20" xfId="5" applyFont="1" applyFill="1" applyBorder="1" applyAlignment="1">
      <alignment horizontal="center" vertical="center" wrapText="1"/>
    </xf>
    <xf numFmtId="0" fontId="15" fillId="4" borderId="21" xfId="5" applyFont="1" applyFill="1" applyBorder="1" applyAlignment="1">
      <alignment horizontal="left" vertical="center"/>
    </xf>
    <xf numFmtId="0" fontId="15" fillId="4" borderId="22" xfId="5" applyFont="1" applyFill="1" applyBorder="1" applyAlignment="1">
      <alignment horizontal="left" vertical="center"/>
    </xf>
    <xf numFmtId="0" fontId="15" fillId="4" borderId="2" xfId="5" applyFont="1" applyFill="1" applyBorder="1" applyAlignment="1">
      <alignment horizontal="left" vertical="center"/>
    </xf>
    <xf numFmtId="0" fontId="12" fillId="2" borderId="21" xfId="5" applyFont="1" applyFill="1" applyBorder="1" applyAlignment="1">
      <alignment vertical="top" wrapText="1"/>
    </xf>
    <xf numFmtId="0" fontId="12" fillId="2" borderId="17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top" wrapText="1"/>
    </xf>
    <xf numFmtId="0" fontId="12" fillId="6" borderId="22" xfId="5" applyFont="1" applyFill="1" applyBorder="1" applyAlignment="1">
      <alignment horizontal="left" vertical="center"/>
    </xf>
    <xf numFmtId="0" fontId="12" fillId="6" borderId="2" xfId="5" applyFont="1" applyFill="1" applyBorder="1" applyAlignment="1">
      <alignment horizontal="left" vertical="center"/>
    </xf>
    <xf numFmtId="0" fontId="12" fillId="2" borderId="20" xfId="5" applyFont="1" applyFill="1" applyBorder="1" applyAlignment="1">
      <alignment vertical="top" wrapText="1"/>
    </xf>
    <xf numFmtId="0" fontId="12" fillId="2" borderId="20" xfId="0" applyFont="1" applyFill="1" applyBorder="1" applyAlignment="1">
      <alignment vertical="top"/>
    </xf>
    <xf numFmtId="0" fontId="12" fillId="6" borderId="17" xfId="5" applyFont="1" applyFill="1" applyBorder="1" applyAlignment="1">
      <alignment horizontal="left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left" vertical="center" wrapText="1"/>
    </xf>
    <xf numFmtId="0" fontId="33" fillId="0" borderId="0" xfId="3" applyFont="1" applyAlignment="1">
      <alignment vertical="center" wrapText="1"/>
    </xf>
    <xf numFmtId="0" fontId="33" fillId="0" borderId="0" xfId="3" applyFont="1" applyAlignment="1">
      <alignment vertical="center"/>
    </xf>
    <xf numFmtId="0" fontId="34" fillId="0" borderId="23" xfId="3" applyFont="1" applyBorder="1" applyAlignment="1">
      <alignment horizontal="left" vertical="center" wrapText="1"/>
    </xf>
    <xf numFmtId="0" fontId="34" fillId="0" borderId="24" xfId="3" applyFont="1" applyBorder="1" applyAlignment="1">
      <alignment vertical="center" wrapText="1"/>
    </xf>
    <xf numFmtId="0" fontId="34" fillId="0" borderId="24" xfId="3" applyFont="1" applyBorder="1" applyAlignment="1">
      <alignment horizontal="left" vertical="center" wrapText="1"/>
    </xf>
    <xf numFmtId="0" fontId="34" fillId="0" borderId="25" xfId="3" applyFont="1" applyBorder="1" applyAlignment="1">
      <alignment horizontal="left" vertical="center" wrapText="1"/>
    </xf>
    <xf numFmtId="0" fontId="34" fillId="0" borderId="26" xfId="3" applyFont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2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1" fontId="4" fillId="2" borderId="0" xfId="0" applyNumberFormat="1" applyFont="1" applyFill="1"/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1" fontId="6" fillId="5" borderId="27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left" vertical="center"/>
    </xf>
    <xf numFmtId="0" fontId="35" fillId="2" borderId="9" xfId="1" applyNumberFormat="1" applyFont="1" applyFill="1" applyBorder="1" applyAlignment="1" applyProtection="1">
      <alignment horizontal="left" vertical="center"/>
    </xf>
    <xf numFmtId="0" fontId="17" fillId="2" borderId="9" xfId="1" applyNumberFormat="1" applyFont="1" applyFill="1" applyBorder="1" applyAlignment="1" applyProtection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8" fillId="2" borderId="9" xfId="1" applyNumberFormat="1" applyFont="1" applyFill="1" applyBorder="1" applyAlignment="1" applyProtection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33" xfId="0" applyNumberFormat="1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8" fillId="0" borderId="0" xfId="0" applyFont="1"/>
    <xf numFmtId="49" fontId="1" fillId="2" borderId="12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0" borderId="2" xfId="0" applyFont="1" applyBorder="1"/>
    <xf numFmtId="0" fontId="5" fillId="0" borderId="2" xfId="0" applyFont="1" applyBorder="1" applyAlignment="1">
      <alignment horizontal="left" inden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6" fillId="3" borderId="27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5" fillId="0" borderId="30" xfId="0" applyFont="1" applyBorder="1" applyAlignment="1">
      <alignment vertical="top" wrapText="1"/>
    </xf>
    <xf numFmtId="164" fontId="1" fillId="0" borderId="29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6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35" xfId="0" applyFont="1" applyBorder="1" applyAlignment="1">
      <alignment vertical="top"/>
    </xf>
    <xf numFmtId="0" fontId="12" fillId="2" borderId="1" xfId="0" quotePrefix="1" applyFont="1" applyFill="1" applyBorder="1" applyAlignment="1">
      <alignment horizontal="left" vertical="top" wrapText="1"/>
    </xf>
    <xf numFmtId="0" fontId="12" fillId="0" borderId="0" xfId="0" quotePrefix="1" applyFont="1" applyAlignment="1">
      <alignment vertical="top" wrapText="1"/>
    </xf>
    <xf numFmtId="0" fontId="28" fillId="2" borderId="1" xfId="0" quotePrefix="1" applyFont="1" applyFill="1" applyBorder="1" applyAlignment="1">
      <alignment horizontal="left" vertical="top" wrapText="1"/>
    </xf>
    <xf numFmtId="0" fontId="28" fillId="7" borderId="1" xfId="0" quotePrefix="1" applyFont="1" applyFill="1" applyBorder="1" applyAlignment="1">
      <alignment horizontal="left" vertical="top" wrapText="1"/>
    </xf>
    <xf numFmtId="0" fontId="29" fillId="2" borderId="1" xfId="0" quotePrefix="1" applyFont="1" applyFill="1" applyBorder="1" applyAlignment="1">
      <alignment horizontal="left" vertical="top" wrapText="1"/>
    </xf>
    <xf numFmtId="0" fontId="9" fillId="2" borderId="1" xfId="0" quotePrefix="1" applyFont="1" applyFill="1" applyBorder="1" applyAlignment="1">
      <alignment horizontal="left" vertical="top" wrapText="1"/>
    </xf>
    <xf numFmtId="0" fontId="1" fillId="2" borderId="1" xfId="5" quotePrefix="1" applyFont="1" applyFill="1" applyBorder="1" applyAlignment="1">
      <alignment vertical="top" wrapText="1"/>
    </xf>
    <xf numFmtId="0" fontId="36" fillId="0" borderId="0" xfId="0" applyFont="1"/>
    <xf numFmtId="0" fontId="37" fillId="0" borderId="0" xfId="0" applyFont="1"/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4" fillId="2" borderId="21" xfId="0" applyNumberFormat="1" applyFont="1" applyFill="1" applyBorder="1"/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34" fillId="0" borderId="23" xfId="3" applyFont="1" applyBorder="1" applyAlignment="1">
      <alignment horizontal="center" vertical="center" wrapText="1"/>
    </xf>
    <xf numFmtId="0" fontId="34" fillId="0" borderId="25" xfId="3" applyFont="1" applyBorder="1" applyAlignment="1">
      <alignment horizontal="center" vertical="center" wrapText="1"/>
    </xf>
    <xf numFmtId="0" fontId="5" fillId="2" borderId="17" xfId="5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5" fillId="2" borderId="1" xfId="4" applyFont="1" applyFill="1" applyBorder="1" applyAlignment="1">
      <alignment vertical="top"/>
    </xf>
    <xf numFmtId="0" fontId="2" fillId="2" borderId="0" xfId="4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4" fillId="0" borderId="37" xfId="3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12" fillId="6" borderId="21" xfId="5" applyFont="1" applyFill="1" applyBorder="1" applyAlignment="1">
      <alignment horizontal="left" vertical="top"/>
    </xf>
    <xf numFmtId="0" fontId="31" fillId="0" borderId="0" xfId="0" quotePrefix="1" applyFont="1" applyAlignment="1">
      <alignment vertical="top" wrapText="1"/>
    </xf>
    <xf numFmtId="0" fontId="12" fillId="6" borderId="17" xfId="5" applyFont="1" applyFill="1" applyBorder="1" applyAlignment="1">
      <alignment horizontal="left" vertical="top"/>
    </xf>
    <xf numFmtId="0" fontId="12" fillId="6" borderId="17" xfId="5" applyFont="1" applyFill="1" applyBorder="1" applyAlignment="1">
      <alignment horizontal="left" vertical="top" wrapText="1"/>
    </xf>
    <xf numFmtId="0" fontId="38" fillId="0" borderId="0" xfId="0" applyFont="1" applyAlignment="1">
      <alignment vertical="top"/>
    </xf>
  </cellXfs>
  <cellStyles count="7">
    <cellStyle name="Hyperlink" xfId="1" builtinId="8"/>
    <cellStyle name="Normal" xfId="0" builtinId="0"/>
    <cellStyle name="Normal 2" xfId="2" xr:uid="{A5274A90-7E88-456A-A4E6-E6D75A57F182}"/>
    <cellStyle name="Normal 3" xfId="3" xr:uid="{B41DB684-D29C-4FCC-9627-F8698D6D9B5D}"/>
    <cellStyle name="Normal_Functional Test Case v1.0" xfId="4" xr:uid="{5AC9A934-85DE-4C30-8A11-3896093DE8E7}"/>
    <cellStyle name="Normal_Sheet1" xfId="5" xr:uid="{B552F454-2E11-45D3-B752-438C3233E463}"/>
    <cellStyle name="標準_結合試験(AllOvertheWorld)" xfId="6" xr:uid="{FC55FB75-8895-4769-83F6-E3CC152CC3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C112-1B01-4324-8ECE-3C011C38F315}">
  <dimension ref="A2:G18"/>
  <sheetViews>
    <sheetView tabSelected="1" workbookViewId="0">
      <selection activeCell="F14" sqref="F14"/>
    </sheetView>
  </sheetViews>
  <sheetFormatPr defaultColWidth="9" defaultRowHeight="13.2"/>
  <cols>
    <col min="1" max="1" width="2.21875" style="124" customWidth="1"/>
    <col min="2" max="2" width="19.6640625" style="125" customWidth="1"/>
    <col min="3" max="3" width="9.21875" style="124" customWidth="1"/>
    <col min="4" max="4" width="14.44140625" style="124" customWidth="1"/>
    <col min="5" max="5" width="8" style="124" customWidth="1"/>
    <col min="6" max="6" width="38.109375" style="124" customWidth="1"/>
    <col min="7" max="7" width="31" style="124" customWidth="1"/>
    <col min="8" max="16384" width="9" style="124"/>
  </cols>
  <sheetData>
    <row r="2" spans="1:7" s="121" customFormat="1" ht="75.75" customHeight="1">
      <c r="A2" s="126"/>
      <c r="B2" s="156" t="s">
        <v>0</v>
      </c>
      <c r="C2" s="157"/>
      <c r="D2" s="157"/>
      <c r="E2" s="157"/>
      <c r="F2" s="157"/>
      <c r="G2" s="158"/>
    </row>
    <row r="3" spans="1:7">
      <c r="B3" s="127"/>
      <c r="C3" s="128"/>
      <c r="F3" s="1"/>
    </row>
    <row r="4" spans="1:7" ht="14.25" customHeight="1">
      <c r="B4" s="6" t="s">
        <v>1</v>
      </c>
      <c r="C4" s="159" t="s">
        <v>2</v>
      </c>
      <c r="D4" s="159"/>
      <c r="E4" s="159"/>
      <c r="F4" s="6" t="s">
        <v>3</v>
      </c>
      <c r="G4" s="129"/>
    </row>
    <row r="5" spans="1:7" ht="14.25" customHeight="1">
      <c r="B5" s="6" t="s">
        <v>4</v>
      </c>
      <c r="C5" s="159" t="s">
        <v>5</v>
      </c>
      <c r="D5" s="159"/>
      <c r="E5" s="159"/>
      <c r="F5" s="6" t="s">
        <v>6</v>
      </c>
      <c r="G5" s="129"/>
    </row>
    <row r="6" spans="1:7" ht="15.75" customHeight="1">
      <c r="B6" s="160" t="s">
        <v>7</v>
      </c>
      <c r="C6" s="161" t="str">
        <f>C5&amp;"_"&amp;"XXX"&amp;"_"&amp;"vx.x"</f>
        <v>&lt;Project Code&gt;_XXX_vx.x</v>
      </c>
      <c r="D6" s="161"/>
      <c r="E6" s="161"/>
      <c r="F6" s="6" t="s">
        <v>8</v>
      </c>
      <c r="G6" s="130"/>
    </row>
    <row r="7" spans="1:7" ht="13.5" customHeight="1">
      <c r="B7" s="160"/>
      <c r="C7" s="161"/>
      <c r="D7" s="161"/>
      <c r="E7" s="161"/>
      <c r="F7" s="6" t="s">
        <v>9</v>
      </c>
      <c r="G7" s="130"/>
    </row>
    <row r="8" spans="1:7">
      <c r="B8" s="11"/>
      <c r="C8" s="131"/>
      <c r="F8" s="127"/>
      <c r="G8" s="128"/>
    </row>
    <row r="10" spans="1:7">
      <c r="B10" s="132" t="s">
        <v>10</v>
      </c>
    </row>
    <row r="11" spans="1:7" s="122" customFormat="1">
      <c r="B11" s="133" t="s">
        <v>11</v>
      </c>
      <c r="C11" s="134" t="s">
        <v>9</v>
      </c>
      <c r="D11" s="134" t="s">
        <v>12</v>
      </c>
      <c r="E11" s="134" t="s">
        <v>13</v>
      </c>
      <c r="F11" s="134" t="s">
        <v>14</v>
      </c>
      <c r="G11" s="135" t="s">
        <v>15</v>
      </c>
    </row>
    <row r="12" spans="1:7" s="123" customFormat="1" ht="39.6">
      <c r="B12" s="136" t="s">
        <v>16</v>
      </c>
      <c r="C12" s="137"/>
      <c r="D12" s="138"/>
      <c r="E12" s="138"/>
      <c r="F12" s="139"/>
      <c r="G12" s="140" t="s">
        <v>17</v>
      </c>
    </row>
    <row r="13" spans="1:7" s="123" customFormat="1" ht="21.75" customHeight="1">
      <c r="B13" s="141" t="s">
        <v>18</v>
      </c>
      <c r="C13" s="137"/>
      <c r="D13" s="138" t="s">
        <v>72</v>
      </c>
      <c r="E13" s="138"/>
      <c r="F13" s="138" t="s">
        <v>74</v>
      </c>
      <c r="G13" s="142"/>
    </row>
    <row r="14" spans="1:7" s="123" customFormat="1" ht="19.5" customHeight="1">
      <c r="B14" s="141" t="s">
        <v>19</v>
      </c>
      <c r="C14" s="137"/>
      <c r="D14" s="138" t="s">
        <v>73</v>
      </c>
      <c r="E14" s="138"/>
      <c r="F14" s="138" t="s">
        <v>75</v>
      </c>
      <c r="G14" s="142"/>
    </row>
    <row r="15" spans="1:7" s="123" customFormat="1" ht="21.75" customHeight="1">
      <c r="B15" s="141"/>
      <c r="C15" s="137"/>
      <c r="D15" s="138"/>
      <c r="E15" s="138"/>
      <c r="F15" s="138"/>
      <c r="G15" s="142"/>
    </row>
    <row r="16" spans="1:7" s="123" customFormat="1" ht="19.5" customHeight="1">
      <c r="B16" s="141"/>
      <c r="C16" s="137"/>
      <c r="D16" s="138"/>
      <c r="E16" s="138"/>
      <c r="F16" s="138"/>
      <c r="G16" s="142"/>
    </row>
    <row r="17" spans="2:7" s="123" customFormat="1" ht="21.75" customHeight="1">
      <c r="B17" s="141"/>
      <c r="C17" s="137"/>
      <c r="D17" s="138"/>
      <c r="E17" s="138"/>
      <c r="F17" s="138"/>
      <c r="G17" s="142"/>
    </row>
    <row r="18" spans="2:7" s="123" customFormat="1" ht="19.5" customHeight="1">
      <c r="B18" s="143"/>
      <c r="C18" s="144"/>
      <c r="D18" s="145"/>
      <c r="E18" s="145"/>
      <c r="F18" s="145"/>
      <c r="G18" s="146"/>
    </row>
  </sheetData>
  <mergeCells count="5">
    <mergeCell ref="B2:G2"/>
    <mergeCell ref="C4:E4"/>
    <mergeCell ref="C5:E5"/>
    <mergeCell ref="B6:B7"/>
    <mergeCell ref="C6:E7"/>
  </mergeCells>
  <pageMargins left="0.47013888888888888" right="0.47013888888888888" top="0.5" bottom="0.35138888888888886" header="0.51180555555555562" footer="0.1701388888888889"/>
  <pageSetup paperSize="9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671D-F19A-428C-A3F9-A52B56E0002E}">
  <dimension ref="B1:I22"/>
  <sheetViews>
    <sheetView topLeftCell="A4" workbookViewId="0">
      <selection activeCell="E15" sqref="E15"/>
    </sheetView>
  </sheetViews>
  <sheetFormatPr defaultColWidth="9" defaultRowHeight="13.2"/>
  <cols>
    <col min="1" max="1" width="1.33203125" style="1" customWidth="1"/>
    <col min="2" max="2" width="11.77734375" style="93" customWidth="1"/>
    <col min="3" max="3" width="30" style="94" customWidth="1"/>
    <col min="4" max="4" width="17.109375" style="94" customWidth="1"/>
    <col min="5" max="5" width="39.88671875" style="94" customWidth="1"/>
    <col min="6" max="6" width="30.6640625" style="94" customWidth="1"/>
    <col min="7" max="16384" width="9" style="1"/>
  </cols>
  <sheetData>
    <row r="1" spans="2:9" ht="24.6">
      <c r="B1" s="95"/>
      <c r="D1" s="96" t="s">
        <v>20</v>
      </c>
      <c r="E1" s="97"/>
    </row>
    <row r="2" spans="2:9" ht="13.5" customHeight="1">
      <c r="B2" s="95"/>
      <c r="D2" s="98"/>
      <c r="E2" s="98"/>
    </row>
    <row r="3" spans="2:9">
      <c r="B3" s="162" t="s">
        <v>1</v>
      </c>
      <c r="C3" s="162"/>
      <c r="D3" s="163" t="str">
        <f>Cover!C4</f>
        <v>&lt;Project Name&gt;</v>
      </c>
      <c r="E3" s="163"/>
      <c r="F3" s="163"/>
    </row>
    <row r="4" spans="2:9">
      <c r="B4" s="162" t="s">
        <v>4</v>
      </c>
      <c r="C4" s="162"/>
      <c r="D4" s="163" t="str">
        <f>Cover!C5</f>
        <v>&lt;Project Code&gt;</v>
      </c>
      <c r="E4" s="163"/>
      <c r="F4" s="163"/>
    </row>
    <row r="5" spans="2:9" s="41" customFormat="1" ht="84.75" customHeight="1">
      <c r="B5" s="164" t="s">
        <v>21</v>
      </c>
      <c r="C5" s="164"/>
      <c r="D5" s="165" t="s">
        <v>22</v>
      </c>
      <c r="E5" s="165"/>
      <c r="F5" s="165"/>
    </row>
    <row r="6" spans="2:9">
      <c r="B6" s="99"/>
      <c r="C6" s="1"/>
      <c r="D6" s="1"/>
      <c r="E6" s="1"/>
      <c r="F6" s="1"/>
    </row>
    <row r="7" spans="2:9" s="91" customFormat="1">
      <c r="B7" s="100"/>
      <c r="C7" s="101"/>
      <c r="D7" s="101"/>
      <c r="E7" s="101"/>
      <c r="F7" s="101"/>
    </row>
    <row r="8" spans="2:9" s="92" customFormat="1" ht="21" customHeight="1">
      <c r="B8" s="102" t="s">
        <v>23</v>
      </c>
      <c r="C8" s="103" t="s">
        <v>24</v>
      </c>
      <c r="D8" s="103" t="s">
        <v>25</v>
      </c>
      <c r="E8" s="104" t="s">
        <v>26</v>
      </c>
      <c r="F8" s="105" t="s">
        <v>27</v>
      </c>
    </row>
    <row r="9" spans="2:9">
      <c r="B9" s="106">
        <v>1</v>
      </c>
      <c r="C9" s="107"/>
      <c r="D9" s="108"/>
      <c r="E9" s="109"/>
      <c r="F9" s="110"/>
    </row>
    <row r="10" spans="2:9">
      <c r="B10" s="106">
        <v>2</v>
      </c>
      <c r="C10" s="107"/>
      <c r="D10" s="109"/>
      <c r="E10" s="109"/>
      <c r="F10" s="110"/>
    </row>
    <row r="11" spans="2:9">
      <c r="B11" s="106">
        <v>3</v>
      </c>
      <c r="C11" s="107"/>
      <c r="D11" s="109"/>
      <c r="E11" s="109"/>
      <c r="F11" s="110"/>
    </row>
    <row r="12" spans="2:9">
      <c r="B12" s="106">
        <v>4</v>
      </c>
      <c r="C12" s="107"/>
      <c r="D12" s="108"/>
      <c r="E12" s="109"/>
      <c r="F12" s="110"/>
    </row>
    <row r="13" spans="2:9">
      <c r="B13" s="106">
        <v>5</v>
      </c>
      <c r="C13" s="107"/>
      <c r="D13" s="111"/>
      <c r="E13" s="112"/>
      <c r="F13" s="110"/>
    </row>
    <row r="14" spans="2:9">
      <c r="B14" s="106">
        <v>6</v>
      </c>
      <c r="C14" s="107"/>
      <c r="D14" s="111"/>
      <c r="E14" s="111"/>
      <c r="F14" s="113"/>
    </row>
    <row r="15" spans="2:9" ht="15">
      <c r="B15" s="106">
        <v>7</v>
      </c>
      <c r="C15" s="154" t="s">
        <v>76</v>
      </c>
      <c r="D15" s="111" t="s">
        <v>77</v>
      </c>
      <c r="E15" s="114"/>
      <c r="F15" s="115"/>
      <c r="G15" s="101"/>
      <c r="H15" s="101"/>
      <c r="I15" s="101"/>
    </row>
    <row r="16" spans="2:9">
      <c r="B16" s="106">
        <v>8</v>
      </c>
      <c r="C16" s="107"/>
      <c r="D16" s="111"/>
      <c r="E16" s="111"/>
      <c r="F16" s="116"/>
    </row>
    <row r="17" spans="2:6" ht="13.8">
      <c r="B17" s="106">
        <v>9</v>
      </c>
      <c r="C17" s="117"/>
      <c r="D17" s="111"/>
      <c r="E17" s="111"/>
      <c r="F17" s="110"/>
    </row>
    <row r="18" spans="2:6" ht="13.8">
      <c r="B18" s="106">
        <v>10</v>
      </c>
      <c r="C18" s="155" t="s">
        <v>79</v>
      </c>
      <c r="D18" s="111" t="s">
        <v>78</v>
      </c>
      <c r="E18" s="111"/>
      <c r="F18" s="110"/>
    </row>
    <row r="19" spans="2:6">
      <c r="B19" s="106">
        <v>11</v>
      </c>
      <c r="C19" s="107"/>
      <c r="D19" s="111"/>
      <c r="E19" s="111"/>
      <c r="F19" s="110"/>
    </row>
    <row r="20" spans="2:6">
      <c r="B20" s="106">
        <v>12</v>
      </c>
      <c r="C20" s="107"/>
      <c r="D20" s="111"/>
      <c r="E20" s="111"/>
      <c r="F20" s="110"/>
    </row>
    <row r="21" spans="2:6">
      <c r="B21" s="106">
        <v>13</v>
      </c>
      <c r="C21" s="118"/>
      <c r="D21" s="119"/>
      <c r="E21" s="119"/>
      <c r="F21" s="120"/>
    </row>
    <row r="22" spans="2:6">
      <c r="B22" s="106">
        <v>14</v>
      </c>
      <c r="C22" s="118"/>
      <c r="D22" s="119"/>
      <c r="E22" s="119"/>
      <c r="F22" s="120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15" location="Module2!B14" display="Module5" xr:uid="{DB6AAF4E-728C-45D7-B500-E9250E25A25C}"/>
    <hyperlink ref="D18" location="Module2!B14" display="Module5" xr:uid="{D78B34C7-0B6A-4351-91D6-45EF0764F8DB}"/>
  </hyperlinks>
  <pageMargins left="0.74791666666666667" right="0.74791666666666667" top="0.98402777777777772" bottom="1.1506944444444445" header="0.51180555555555562" footer="0.98402777777777772"/>
  <pageSetup paperSize="9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33B5-7506-462D-99B9-C32E7C6B9F65}">
  <dimension ref="A1:F14"/>
  <sheetViews>
    <sheetView view="pageBreakPreview" zoomScaleNormal="100" workbookViewId="0">
      <selection activeCell="I19" sqref="I19"/>
    </sheetView>
  </sheetViews>
  <sheetFormatPr defaultColWidth="7.88671875" defaultRowHeight="13.8"/>
  <cols>
    <col min="1" max="3" width="15.6640625" style="83" customWidth="1"/>
    <col min="4" max="4" width="52.44140625" style="84" customWidth="1"/>
    <col min="5" max="5" width="14.5546875" style="83" bestFit="1" customWidth="1"/>
    <col min="6" max="6" width="34.88671875" style="84" customWidth="1"/>
    <col min="7" max="16384" width="7.88671875" style="85"/>
  </cols>
  <sheetData>
    <row r="1" spans="1:6" s="82" customFormat="1" ht="26.4">
      <c r="A1" s="50" t="s">
        <v>28</v>
      </c>
      <c r="B1" s="50" t="s">
        <v>29</v>
      </c>
      <c r="C1" s="50" t="s">
        <v>30</v>
      </c>
      <c r="D1" s="50" t="s">
        <v>31</v>
      </c>
      <c r="E1" s="50" t="s">
        <v>32</v>
      </c>
      <c r="F1" s="50" t="s">
        <v>33</v>
      </c>
    </row>
    <row r="2" spans="1:6">
      <c r="A2" s="166" t="s">
        <v>102</v>
      </c>
      <c r="B2" s="174" t="s">
        <v>80</v>
      </c>
      <c r="C2" s="86" t="s">
        <v>34</v>
      </c>
      <c r="D2" s="87" t="s">
        <v>81</v>
      </c>
      <c r="E2" s="88" t="s">
        <v>82</v>
      </c>
      <c r="F2" s="87" t="s">
        <v>93</v>
      </c>
    </row>
    <row r="3" spans="1:6" ht="26.4">
      <c r="A3" s="167"/>
      <c r="B3" s="175" t="s">
        <v>83</v>
      </c>
      <c r="C3" s="89" t="s">
        <v>84</v>
      </c>
      <c r="D3" s="87" t="s">
        <v>85</v>
      </c>
      <c r="E3" s="88" t="s">
        <v>86</v>
      </c>
      <c r="F3" s="87" t="s">
        <v>97</v>
      </c>
    </row>
    <row r="4" spans="1:6">
      <c r="A4" s="167"/>
      <c r="B4" s="175" t="s">
        <v>37</v>
      </c>
      <c r="C4" s="89" t="s">
        <v>87</v>
      </c>
      <c r="D4" s="87" t="s">
        <v>88</v>
      </c>
      <c r="E4" s="88" t="s">
        <v>36</v>
      </c>
      <c r="F4" s="87" t="s">
        <v>101</v>
      </c>
    </row>
    <row r="5" spans="1:6">
      <c r="A5" s="167"/>
      <c r="B5" s="89" t="s">
        <v>37</v>
      </c>
      <c r="C5" s="89" t="s">
        <v>89</v>
      </c>
      <c r="D5" s="87" t="s">
        <v>90</v>
      </c>
      <c r="E5" s="88" t="s">
        <v>36</v>
      </c>
      <c r="F5" s="87" t="s">
        <v>100</v>
      </c>
    </row>
    <row r="6" spans="1:6">
      <c r="A6" s="167"/>
      <c r="B6" s="89" t="s">
        <v>91</v>
      </c>
      <c r="C6" s="89" t="s">
        <v>92</v>
      </c>
      <c r="D6" s="87" t="s">
        <v>98</v>
      </c>
      <c r="E6" s="88" t="s">
        <v>35</v>
      </c>
      <c r="F6" s="87" t="s">
        <v>99</v>
      </c>
    </row>
    <row r="7" spans="1:6">
      <c r="A7" s="167" t="s">
        <v>103</v>
      </c>
      <c r="B7" s="89" t="s">
        <v>94</v>
      </c>
      <c r="C7" s="86" t="s">
        <v>104</v>
      </c>
      <c r="D7" s="87" t="s">
        <v>110</v>
      </c>
      <c r="E7" s="88" t="s">
        <v>35</v>
      </c>
      <c r="F7" s="87" t="s">
        <v>116</v>
      </c>
    </row>
    <row r="8" spans="1:6">
      <c r="A8" s="167"/>
      <c r="B8" s="89" t="s">
        <v>95</v>
      </c>
      <c r="C8" s="89" t="s">
        <v>105</v>
      </c>
      <c r="D8" s="87" t="s">
        <v>111</v>
      </c>
      <c r="E8" s="88" t="s">
        <v>35</v>
      </c>
      <c r="F8" s="87" t="s">
        <v>117</v>
      </c>
    </row>
    <row r="9" spans="1:6">
      <c r="A9" s="167"/>
      <c r="B9" s="89" t="s">
        <v>95</v>
      </c>
      <c r="C9" s="90" t="s">
        <v>106</v>
      </c>
      <c r="D9" s="87" t="s">
        <v>112</v>
      </c>
      <c r="E9" s="88" t="s">
        <v>36</v>
      </c>
      <c r="F9" s="87" t="s">
        <v>118</v>
      </c>
    </row>
    <row r="10" spans="1:6">
      <c r="A10" s="167"/>
      <c r="B10" s="89" t="s">
        <v>95</v>
      </c>
      <c r="C10" s="86" t="s">
        <v>107</v>
      </c>
      <c r="D10" s="87" t="s">
        <v>113</v>
      </c>
      <c r="E10" s="88" t="s">
        <v>36</v>
      </c>
      <c r="F10" s="87" t="s">
        <v>119</v>
      </c>
    </row>
    <row r="11" spans="1:6" ht="26.4">
      <c r="A11" s="167"/>
      <c r="B11" s="89" t="s">
        <v>95</v>
      </c>
      <c r="C11" s="89" t="s">
        <v>108</v>
      </c>
      <c r="D11" s="87" t="s">
        <v>114</v>
      </c>
      <c r="E11" s="88" t="s">
        <v>36</v>
      </c>
      <c r="F11" s="87" t="s">
        <v>120</v>
      </c>
    </row>
    <row r="12" spans="1:6">
      <c r="A12" s="167"/>
      <c r="B12" s="89" t="s">
        <v>96</v>
      </c>
      <c r="C12" s="89" t="s">
        <v>109</v>
      </c>
      <c r="D12" s="87" t="s">
        <v>115</v>
      </c>
      <c r="E12" s="88" t="s">
        <v>82</v>
      </c>
      <c r="F12" s="87" t="s">
        <v>121</v>
      </c>
    </row>
    <row r="13" spans="1:6">
      <c r="A13" s="89"/>
      <c r="B13" s="90"/>
      <c r="C13" s="90"/>
      <c r="D13" s="87"/>
      <c r="E13" s="88"/>
      <c r="F13" s="87"/>
    </row>
    <row r="14" spans="1:6">
      <c r="A14" s="90"/>
      <c r="B14" s="88"/>
      <c r="C14" s="88"/>
      <c r="D14" s="87"/>
      <c r="E14" s="88"/>
      <c r="F14" s="87"/>
    </row>
  </sheetData>
  <autoFilter ref="A1:F14" xr:uid="{4148D838-A71B-4799-9B5A-4C7EF6ADD241}"/>
  <mergeCells count="2">
    <mergeCell ref="A2:A6"/>
    <mergeCell ref="A7:A12"/>
  </mergeCells>
  <pageMargins left="0.39370078740157483" right="0.39370078740157483" top="0.39370078740157483" bottom="0.39370078740157483" header="0.19685039370078741" footer="0.19685039370078741"/>
  <pageSetup paperSize="9" scale="9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260D-6FFA-4D67-86D3-877ED91443F9}">
  <dimension ref="A1:J16"/>
  <sheetViews>
    <sheetView zoomScale="82" workbookViewId="0">
      <pane ySplit="8" topLeftCell="A30" activePane="bottomLeft" state="frozen"/>
      <selection pane="bottomLeft" activeCell="L14" sqref="L14"/>
    </sheetView>
  </sheetViews>
  <sheetFormatPr defaultColWidth="9" defaultRowHeight="13.2"/>
  <cols>
    <col min="1" max="1" width="11.77734375" style="1" customWidth="1"/>
    <col min="2" max="2" width="48.109375" style="1" customWidth="1"/>
    <col min="3" max="3" width="69.33203125" style="1" bestFit="1" customWidth="1"/>
    <col min="4" max="4" width="28.44140625" style="1" customWidth="1"/>
    <col min="5" max="5" width="22.6640625" style="1" customWidth="1"/>
    <col min="6" max="6" width="7.109375" style="1" customWidth="1"/>
    <col min="7" max="7" width="10.88671875" style="1" customWidth="1"/>
    <col min="8" max="8" width="17.6640625" style="1" customWidth="1"/>
    <col min="9" max="9" width="8.21875" style="36" customWidth="1"/>
    <col min="10" max="10" width="8.88671875" style="1" hidden="1" customWidth="1"/>
    <col min="11" max="16384" width="9" style="1"/>
  </cols>
  <sheetData>
    <row r="1" spans="1:10" s="34" customFormat="1">
      <c r="A1" s="37"/>
      <c r="B1" s="38"/>
      <c r="C1" s="38"/>
      <c r="D1" s="38"/>
      <c r="E1" s="38"/>
      <c r="F1" s="39"/>
      <c r="G1" s="40"/>
      <c r="H1" s="41"/>
      <c r="I1" s="62"/>
    </row>
    <row r="2" spans="1:10" s="34" customFormat="1" ht="15" customHeight="1">
      <c r="A2" s="42" t="s">
        <v>38</v>
      </c>
      <c r="B2" s="168" t="s">
        <v>160</v>
      </c>
      <c r="C2" s="168"/>
      <c r="D2" s="168"/>
      <c r="E2" s="168"/>
      <c r="F2" s="168"/>
      <c r="G2" s="168"/>
      <c r="H2" s="168"/>
      <c r="I2" s="62"/>
      <c r="J2" s="34" t="s">
        <v>39</v>
      </c>
    </row>
    <row r="3" spans="1:10" s="34" customFormat="1" ht="25.5" customHeight="1">
      <c r="A3" s="43" t="s">
        <v>40</v>
      </c>
      <c r="B3" s="168" t="s">
        <v>41</v>
      </c>
      <c r="C3" s="168"/>
      <c r="D3" s="168"/>
      <c r="E3" s="168"/>
      <c r="F3" s="168"/>
      <c r="G3" s="168"/>
      <c r="H3" s="168"/>
      <c r="I3" s="62"/>
      <c r="J3" s="34" t="s">
        <v>42</v>
      </c>
    </row>
    <row r="4" spans="1:10" s="34" customFormat="1" ht="18" customHeight="1">
      <c r="A4" s="42" t="s">
        <v>43</v>
      </c>
      <c r="B4" s="168" t="s">
        <v>159</v>
      </c>
      <c r="C4" s="168"/>
      <c r="D4" s="168"/>
      <c r="E4" s="168"/>
      <c r="F4" s="168"/>
      <c r="G4" s="168"/>
      <c r="H4" s="168"/>
      <c r="I4" s="62"/>
      <c r="J4" s="34" t="s">
        <v>45</v>
      </c>
    </row>
    <row r="5" spans="1:10" s="34" customFormat="1" ht="19.5" customHeight="1">
      <c r="A5" s="44" t="s">
        <v>39</v>
      </c>
      <c r="B5" s="45" t="s">
        <v>42</v>
      </c>
      <c r="C5" s="45" t="s">
        <v>46</v>
      </c>
      <c r="D5" s="45" t="s">
        <v>45</v>
      </c>
      <c r="E5" s="46" t="s">
        <v>47</v>
      </c>
      <c r="F5" s="169" t="s">
        <v>48</v>
      </c>
      <c r="G5" s="169"/>
      <c r="H5" s="169"/>
      <c r="I5" s="63"/>
      <c r="J5" s="34" t="s">
        <v>46</v>
      </c>
    </row>
    <row r="6" spans="1:10" s="34" customFormat="1" ht="15" customHeight="1">
      <c r="A6" s="47">
        <f>COUNTIF(F9:F994,"Passed")</f>
        <v>7</v>
      </c>
      <c r="B6" s="48">
        <f>COUNTIF(F9:F994,"Failed")</f>
        <v>0</v>
      </c>
      <c r="C6" s="48">
        <f>F6-E6-D6-B6-A6</f>
        <v>0</v>
      </c>
      <c r="D6" s="48">
        <f>COUNTIF(F$9:F$994,"Blocked")</f>
        <v>0</v>
      </c>
      <c r="E6" s="49">
        <f>COUNTIF(F$9:F$994,"Skipped")</f>
        <v>0</v>
      </c>
      <c r="F6" s="170">
        <f>COUNTA(A9:A994)</f>
        <v>7</v>
      </c>
      <c r="G6" s="170"/>
      <c r="H6" s="170"/>
      <c r="I6" s="63"/>
      <c r="J6" s="34" t="s">
        <v>47</v>
      </c>
    </row>
    <row r="7" spans="1:10" s="34" customFormat="1" ht="15" customHeight="1">
      <c r="D7" s="32"/>
      <c r="E7" s="32"/>
      <c r="F7" s="67"/>
      <c r="G7" s="67"/>
      <c r="H7" s="67"/>
      <c r="I7" s="63"/>
    </row>
    <row r="8" spans="1:10" s="34" customFormat="1" ht="25.5" customHeight="1">
      <c r="A8" s="68" t="s">
        <v>49</v>
      </c>
      <c r="B8" s="68" t="s">
        <v>50</v>
      </c>
      <c r="C8" s="68" t="s">
        <v>51</v>
      </c>
      <c r="D8" s="68" t="s">
        <v>52</v>
      </c>
      <c r="E8" s="69" t="s">
        <v>53</v>
      </c>
      <c r="F8" s="69" t="s">
        <v>54</v>
      </c>
      <c r="G8" s="69" t="s">
        <v>55</v>
      </c>
      <c r="H8" s="68" t="s">
        <v>33</v>
      </c>
      <c r="I8" s="64"/>
    </row>
    <row r="9" spans="1:10" s="34" customFormat="1" ht="15.75" customHeight="1">
      <c r="A9" s="70"/>
      <c r="B9" s="70" t="s">
        <v>56</v>
      </c>
      <c r="C9" s="71"/>
      <c r="D9" s="71"/>
      <c r="E9" s="71"/>
      <c r="F9" s="71"/>
      <c r="G9" s="71"/>
      <c r="H9" s="72"/>
      <c r="I9" s="66"/>
    </row>
    <row r="10" spans="1:10" ht="92.4">
      <c r="A10" s="56" t="s">
        <v>122</v>
      </c>
      <c r="B10" s="73" t="s">
        <v>123</v>
      </c>
      <c r="C10" s="74" t="s">
        <v>124</v>
      </c>
      <c r="D10" s="147" t="s">
        <v>125</v>
      </c>
      <c r="E10" s="75" t="s">
        <v>57</v>
      </c>
      <c r="F10" s="56" t="s">
        <v>39</v>
      </c>
      <c r="G10" s="56" t="s">
        <v>18</v>
      </c>
      <c r="H10" s="76" t="s">
        <v>126</v>
      </c>
      <c r="I10" s="65"/>
    </row>
    <row r="11" spans="1:10" ht="66">
      <c r="A11" s="56" t="s">
        <v>127</v>
      </c>
      <c r="B11" s="73" t="s">
        <v>134</v>
      </c>
      <c r="C11" s="74" t="s">
        <v>133</v>
      </c>
      <c r="D11" s="177" t="s">
        <v>135</v>
      </c>
      <c r="E11" s="75" t="s">
        <v>136</v>
      </c>
      <c r="F11" s="56" t="s">
        <v>39</v>
      </c>
      <c r="G11" s="56" t="s">
        <v>18</v>
      </c>
      <c r="H11" s="76" t="s">
        <v>137</v>
      </c>
      <c r="I11" s="65"/>
    </row>
    <row r="12" spans="1:10" s="34" customFormat="1" ht="52.8">
      <c r="A12" s="56" t="s">
        <v>138</v>
      </c>
      <c r="B12" s="176" t="s">
        <v>128</v>
      </c>
      <c r="C12" s="56" t="s">
        <v>129</v>
      </c>
      <c r="D12" s="148" t="s">
        <v>130</v>
      </c>
      <c r="E12" s="77" t="s">
        <v>131</v>
      </c>
      <c r="F12" s="77" t="s">
        <v>39</v>
      </c>
      <c r="G12" s="77" t="s">
        <v>18</v>
      </c>
      <c r="H12" s="78" t="s">
        <v>132</v>
      </c>
      <c r="I12" s="66"/>
    </row>
    <row r="13" spans="1:10" ht="66">
      <c r="A13" s="56" t="s">
        <v>139</v>
      </c>
      <c r="B13" s="56" t="s">
        <v>142</v>
      </c>
      <c r="C13" s="56" t="s">
        <v>143</v>
      </c>
      <c r="D13" s="177" t="s">
        <v>144</v>
      </c>
      <c r="E13" s="56" t="s">
        <v>145</v>
      </c>
      <c r="F13" s="56" t="s">
        <v>39</v>
      </c>
      <c r="G13" s="56" t="s">
        <v>18</v>
      </c>
      <c r="H13" s="76" t="s">
        <v>146</v>
      </c>
      <c r="I13" s="65"/>
    </row>
    <row r="14" spans="1:10" ht="39.6">
      <c r="A14" s="56" t="s">
        <v>140</v>
      </c>
      <c r="B14" s="79" t="s">
        <v>196</v>
      </c>
      <c r="C14" s="79" t="s">
        <v>147</v>
      </c>
      <c r="D14" s="149" t="s">
        <v>148</v>
      </c>
      <c r="E14" s="56" t="s">
        <v>145</v>
      </c>
      <c r="F14" s="56" t="s">
        <v>39</v>
      </c>
      <c r="G14" s="80" t="s">
        <v>18</v>
      </c>
      <c r="H14" s="80" t="s">
        <v>149</v>
      </c>
    </row>
    <row r="15" spans="1:10" ht="39.6">
      <c r="A15" s="56" t="s">
        <v>141</v>
      </c>
      <c r="B15" s="178" t="s">
        <v>150</v>
      </c>
      <c r="C15" s="179" t="s">
        <v>151</v>
      </c>
      <c r="D15" s="150" t="s">
        <v>152</v>
      </c>
      <c r="E15" s="56" t="s">
        <v>145</v>
      </c>
      <c r="F15" s="56" t="s">
        <v>39</v>
      </c>
      <c r="G15" s="81" t="s">
        <v>18</v>
      </c>
      <c r="H15" s="81" t="s">
        <v>153</v>
      </c>
      <c r="I15" s="66"/>
    </row>
    <row r="16" spans="1:10" ht="39.6">
      <c r="A16" s="56" t="s">
        <v>154</v>
      </c>
      <c r="B16" s="178" t="s">
        <v>155</v>
      </c>
      <c r="C16" s="179" t="s">
        <v>156</v>
      </c>
      <c r="D16" s="150" t="s">
        <v>157</v>
      </c>
      <c r="E16" s="56" t="s">
        <v>145</v>
      </c>
      <c r="F16" s="56" t="s">
        <v>39</v>
      </c>
      <c r="G16" s="81" t="s">
        <v>18</v>
      </c>
      <c r="H16" s="81" t="s">
        <v>158</v>
      </c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3" xr:uid="{D06ADD89-11E7-465C-875D-99F0FB8D36E7}">
      <formula1>$J$2:$J$6</formula1>
      <formula2>0</formula2>
    </dataValidation>
  </dataValidations>
  <pageMargins left="0.74791666666666667" right="0.25" top="0.75" bottom="0.98402777777777772" header="0.5" footer="0.5"/>
  <pageSetup paperSize="9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4228-2EF1-4F24-A76D-2DA260D77EFE}">
  <dimension ref="A1:K15"/>
  <sheetViews>
    <sheetView workbookViewId="0">
      <pane ySplit="8" topLeftCell="A12" activePane="bottomLeft" state="frozen"/>
      <selection pane="bottomLeft" activeCell="I14" sqref="I14"/>
    </sheetView>
  </sheetViews>
  <sheetFormatPr defaultColWidth="9" defaultRowHeight="13.2"/>
  <cols>
    <col min="1" max="1" width="11.44140625" style="1" customWidth="1"/>
    <col min="2" max="2" width="47.109375" style="1" customWidth="1"/>
    <col min="3" max="3" width="25.6640625" style="1" customWidth="1"/>
    <col min="4" max="4" width="30.109375" style="1" customWidth="1"/>
    <col min="5" max="5" width="16.88671875" style="1" customWidth="1"/>
    <col min="6" max="6" width="7.109375" style="1" customWidth="1"/>
    <col min="7" max="7" width="9" style="1"/>
    <col min="8" max="8" width="35" style="1" customWidth="1"/>
    <col min="9" max="9" width="8.21875" style="36" customWidth="1"/>
    <col min="10" max="10" width="8.88671875" style="1" hidden="1" customWidth="1"/>
    <col min="11" max="16384" width="9" style="1"/>
  </cols>
  <sheetData>
    <row r="1" spans="1:11" s="34" customFormat="1">
      <c r="A1" s="37"/>
      <c r="B1" s="38"/>
      <c r="C1" s="38"/>
      <c r="D1" s="38"/>
      <c r="E1" s="38"/>
      <c r="F1" s="39"/>
      <c r="G1" s="40"/>
      <c r="H1" s="41"/>
      <c r="I1" s="62"/>
    </row>
    <row r="2" spans="1:11" s="34" customFormat="1" ht="15" customHeight="1">
      <c r="A2" s="42" t="s">
        <v>38</v>
      </c>
      <c r="B2" s="168" t="s">
        <v>73</v>
      </c>
      <c r="C2" s="168"/>
      <c r="D2" s="168"/>
      <c r="E2" s="168"/>
      <c r="F2" s="168"/>
      <c r="G2" s="168"/>
      <c r="H2" s="168"/>
      <c r="I2" s="62"/>
      <c r="J2" s="34" t="s">
        <v>39</v>
      </c>
    </row>
    <row r="3" spans="1:11" s="34" customFormat="1" ht="25.5" customHeight="1">
      <c r="A3" s="43" t="s">
        <v>40</v>
      </c>
      <c r="B3" s="168" t="s">
        <v>161</v>
      </c>
      <c r="C3" s="168"/>
      <c r="D3" s="168"/>
      <c r="E3" s="168"/>
      <c r="F3" s="168"/>
      <c r="G3" s="168"/>
      <c r="H3" s="168"/>
      <c r="I3" s="62"/>
      <c r="J3" s="34" t="s">
        <v>42</v>
      </c>
    </row>
    <row r="4" spans="1:11" s="34" customFormat="1" ht="18" customHeight="1">
      <c r="A4" s="42" t="s">
        <v>43</v>
      </c>
      <c r="B4" s="168" t="s">
        <v>44</v>
      </c>
      <c r="C4" s="168"/>
      <c r="D4" s="168"/>
      <c r="E4" s="168"/>
      <c r="F4" s="168"/>
      <c r="G4" s="168"/>
      <c r="H4" s="168"/>
      <c r="I4" s="62"/>
      <c r="J4" s="34" t="s">
        <v>45</v>
      </c>
    </row>
    <row r="5" spans="1:11" s="34" customFormat="1" ht="19.5" customHeight="1">
      <c r="A5" s="44" t="s">
        <v>39</v>
      </c>
      <c r="B5" s="45" t="s">
        <v>42</v>
      </c>
      <c r="C5" s="45" t="s">
        <v>46</v>
      </c>
      <c r="D5" s="45" t="s">
        <v>45</v>
      </c>
      <c r="E5" s="46" t="s">
        <v>47</v>
      </c>
      <c r="F5" s="169" t="s">
        <v>48</v>
      </c>
      <c r="G5" s="169"/>
      <c r="H5" s="169"/>
      <c r="I5" s="63"/>
      <c r="J5" s="34" t="s">
        <v>46</v>
      </c>
    </row>
    <row r="6" spans="1:11" s="34" customFormat="1" ht="15" customHeight="1">
      <c r="A6" s="47">
        <f>COUNTIF(F9:F994,"Passed")</f>
        <v>6</v>
      </c>
      <c r="B6" s="48">
        <f>COUNTIF(F9:F994,"Failed")</f>
        <v>0</v>
      </c>
      <c r="C6" s="48">
        <f>F6-E6-D6-B6-A6</f>
        <v>0</v>
      </c>
      <c r="D6" s="48">
        <f>COUNTIF(F$9:F$994,"Blocked")</f>
        <v>0</v>
      </c>
      <c r="E6" s="49">
        <f>COUNTIF(F$9:F$994,"Skipped")</f>
        <v>0</v>
      </c>
      <c r="F6" s="170">
        <f>COUNTA(A9:A994)</f>
        <v>6</v>
      </c>
      <c r="G6" s="170"/>
      <c r="H6" s="170"/>
      <c r="I6" s="63"/>
      <c r="J6" s="34" t="s">
        <v>47</v>
      </c>
    </row>
    <row r="7" spans="1:11" s="34" customFormat="1" ht="15" customHeight="1">
      <c r="D7" s="32"/>
      <c r="E7" s="32"/>
      <c r="F7" s="32"/>
      <c r="G7" s="32"/>
      <c r="H7" s="32"/>
      <c r="I7" s="63"/>
    </row>
    <row r="8" spans="1:11" s="34" customFormat="1" ht="25.5" customHeight="1">
      <c r="A8" s="50" t="s">
        <v>49</v>
      </c>
      <c r="B8" s="50" t="s">
        <v>50</v>
      </c>
      <c r="C8" s="50" t="s">
        <v>51</v>
      </c>
      <c r="D8" s="50" t="s">
        <v>52</v>
      </c>
      <c r="E8" s="51" t="s">
        <v>53</v>
      </c>
      <c r="F8" s="51" t="s">
        <v>54</v>
      </c>
      <c r="G8" s="51" t="s">
        <v>55</v>
      </c>
      <c r="H8" s="50" t="s">
        <v>33</v>
      </c>
      <c r="I8" s="64"/>
    </row>
    <row r="9" spans="1:11" s="35" customFormat="1" ht="120.9" customHeight="1">
      <c r="A9" s="52" t="s">
        <v>162</v>
      </c>
      <c r="B9" s="52" t="s">
        <v>163</v>
      </c>
      <c r="C9" s="53" t="s">
        <v>164</v>
      </c>
      <c r="D9" s="151" t="s">
        <v>165</v>
      </c>
      <c r="E9" s="54" t="s">
        <v>57</v>
      </c>
      <c r="F9" s="55" t="s">
        <v>39</v>
      </c>
      <c r="G9" s="56" t="s">
        <v>18</v>
      </c>
      <c r="H9" s="57" t="s">
        <v>166</v>
      </c>
      <c r="I9" s="65"/>
    </row>
    <row r="10" spans="1:11" ht="52.8">
      <c r="A10" s="180" t="s">
        <v>167</v>
      </c>
      <c r="B10" s="58" t="s">
        <v>168</v>
      </c>
      <c r="C10" s="52" t="s">
        <v>169</v>
      </c>
      <c r="D10" s="152" t="s">
        <v>170</v>
      </c>
      <c r="E10" s="59" t="s">
        <v>171</v>
      </c>
      <c r="F10" s="55" t="s">
        <v>39</v>
      </c>
      <c r="G10" s="56" t="s">
        <v>18</v>
      </c>
      <c r="H10" s="57" t="s">
        <v>172</v>
      </c>
      <c r="I10" s="65"/>
    </row>
    <row r="11" spans="1:11" ht="66">
      <c r="A11" s="180" t="s">
        <v>173</v>
      </c>
      <c r="B11" s="52" t="s">
        <v>174</v>
      </c>
      <c r="C11" s="52" t="s">
        <v>175</v>
      </c>
      <c r="D11" s="152" t="s">
        <v>58</v>
      </c>
      <c r="E11" s="59" t="s">
        <v>176</v>
      </c>
      <c r="F11" s="55" t="s">
        <v>39</v>
      </c>
      <c r="G11" s="56" t="s">
        <v>18</v>
      </c>
      <c r="H11" s="57" t="s">
        <v>177</v>
      </c>
      <c r="I11" s="65"/>
    </row>
    <row r="12" spans="1:11" ht="52.8">
      <c r="A12" s="180" t="s">
        <v>178</v>
      </c>
      <c r="B12" s="52" t="s">
        <v>179</v>
      </c>
      <c r="C12" s="52" t="s">
        <v>180</v>
      </c>
      <c r="D12" s="153" t="s">
        <v>181</v>
      </c>
      <c r="E12" s="52" t="s">
        <v>182</v>
      </c>
      <c r="F12" s="55" t="s">
        <v>39</v>
      </c>
      <c r="G12" s="56" t="s">
        <v>18</v>
      </c>
      <c r="H12" s="57" t="s">
        <v>183</v>
      </c>
      <c r="I12" s="65"/>
    </row>
    <row r="13" spans="1:11" ht="52.8">
      <c r="A13" s="180" t="s">
        <v>184</v>
      </c>
      <c r="B13" s="52" t="s">
        <v>185</v>
      </c>
      <c r="C13" s="52" t="s">
        <v>186</v>
      </c>
      <c r="D13" s="153" t="s">
        <v>187</v>
      </c>
      <c r="E13" s="52" t="s">
        <v>188</v>
      </c>
      <c r="F13" s="55" t="s">
        <v>39</v>
      </c>
      <c r="G13" s="56" t="s">
        <v>18</v>
      </c>
      <c r="H13" s="60" t="s">
        <v>189</v>
      </c>
    </row>
    <row r="14" spans="1:11" ht="52.8">
      <c r="A14" s="52" t="s">
        <v>190</v>
      </c>
      <c r="B14" s="52" t="s">
        <v>191</v>
      </c>
      <c r="C14" s="52" t="s">
        <v>192</v>
      </c>
      <c r="D14" s="153" t="s">
        <v>193</v>
      </c>
      <c r="E14" s="52" t="s">
        <v>171</v>
      </c>
      <c r="F14" s="55" t="s">
        <v>39</v>
      </c>
      <c r="G14" s="56" t="s">
        <v>18</v>
      </c>
      <c r="H14" s="60" t="s">
        <v>194</v>
      </c>
      <c r="I14" s="66"/>
      <c r="J14" s="34"/>
      <c r="K14" s="34"/>
    </row>
    <row r="15" spans="1:11">
      <c r="F15" s="61"/>
      <c r="I15" s="65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2" xr:uid="{F494B1ED-35AC-46BF-B658-F9E0B7941F85}">
      <formula1>$J$2:$J$6</formula1>
      <formula2>0</formula2>
    </dataValidation>
  </dataValidations>
  <pageMargins left="0.74791666666666667" right="0.25" top="0.75" bottom="0.98402777777777772" header="0.5" footer="0.5"/>
  <pageSetup paperSize="9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1920-11E2-429E-B665-EBEADEF30E0A}">
  <dimension ref="A1:I16"/>
  <sheetViews>
    <sheetView workbookViewId="0">
      <selection activeCell="G23" sqref="G23"/>
    </sheetView>
  </sheetViews>
  <sheetFormatPr defaultColWidth="9" defaultRowHeight="13.2"/>
  <cols>
    <col min="1" max="1" width="9" style="1"/>
    <col min="2" max="2" width="17.6640625" style="1" customWidth="1"/>
    <col min="3" max="3" width="27.21875" style="1" customWidth="1"/>
    <col min="4" max="4" width="5.109375" style="1" customWidth="1"/>
    <col min="5" max="5" width="8.33203125" style="1" customWidth="1"/>
    <col min="6" max="6" width="10.44140625" style="1" customWidth="1"/>
    <col min="7" max="7" width="9.33203125" style="1" customWidth="1"/>
    <col min="8" max="8" width="38.44140625" style="1" customWidth="1"/>
    <col min="9" max="9" width="23.44140625" style="1" customWidth="1"/>
    <col min="10" max="16384" width="9" style="1"/>
  </cols>
  <sheetData>
    <row r="1" spans="1:9" ht="25.5" customHeight="1">
      <c r="B1" s="172" t="s">
        <v>59</v>
      </c>
      <c r="C1" s="172"/>
      <c r="D1" s="172"/>
      <c r="E1" s="172"/>
      <c r="F1" s="172"/>
      <c r="G1" s="172"/>
      <c r="H1" s="172"/>
    </row>
    <row r="2" spans="1:9" ht="14.25" customHeight="1">
      <c r="A2" s="2"/>
      <c r="B2" s="2"/>
      <c r="C2" s="3"/>
      <c r="D2" s="3"/>
      <c r="E2" s="3"/>
      <c r="F2" s="3"/>
      <c r="G2" s="3"/>
      <c r="H2" s="4"/>
    </row>
    <row r="3" spans="1:9" ht="12" customHeight="1">
      <c r="B3" s="5" t="s">
        <v>1</v>
      </c>
      <c r="C3" s="163" t="s">
        <v>60</v>
      </c>
      <c r="D3" s="163"/>
      <c r="E3" s="173" t="s">
        <v>3</v>
      </c>
      <c r="F3" s="173"/>
      <c r="G3" s="7"/>
      <c r="H3" s="8"/>
    </row>
    <row r="4" spans="1:9" ht="12" customHeight="1">
      <c r="B4" s="5" t="s">
        <v>4</v>
      </c>
      <c r="C4" s="163" t="s">
        <v>5</v>
      </c>
      <c r="D4" s="163"/>
      <c r="E4" s="173" t="s">
        <v>6</v>
      </c>
      <c r="F4" s="173"/>
      <c r="G4" s="7"/>
      <c r="H4" s="8"/>
    </row>
    <row r="5" spans="1:9" ht="12" customHeight="1">
      <c r="B5" s="9" t="s">
        <v>7</v>
      </c>
      <c r="C5" s="163" t="str">
        <f>C4&amp;"_"&amp;"Test Report"&amp;"_"&amp;"vx.x"</f>
        <v>&lt;Project Code&gt;_Test Report_vx.x</v>
      </c>
      <c r="D5" s="163"/>
      <c r="E5" s="173" t="s">
        <v>8</v>
      </c>
      <c r="F5" s="173"/>
      <c r="G5" s="7"/>
      <c r="H5" s="10" t="s">
        <v>61</v>
      </c>
    </row>
    <row r="6" spans="1:9" ht="21.75" customHeight="1">
      <c r="A6" s="2"/>
      <c r="B6" s="9" t="s">
        <v>62</v>
      </c>
      <c r="C6" s="171" t="s">
        <v>63</v>
      </c>
      <c r="D6" s="171"/>
      <c r="E6" s="171"/>
      <c r="F6" s="171"/>
      <c r="G6" s="171"/>
      <c r="H6" s="171"/>
    </row>
    <row r="7" spans="1:9" ht="14.25" customHeight="1">
      <c r="A7" s="2"/>
      <c r="B7" s="11"/>
      <c r="C7" s="12"/>
      <c r="D7" s="3"/>
      <c r="E7" s="3"/>
      <c r="F7" s="3"/>
      <c r="G7" s="3"/>
      <c r="H7" s="4"/>
    </row>
    <row r="8" spans="1:9">
      <c r="B8" s="11"/>
      <c r="C8" s="12"/>
      <c r="D8" s="3"/>
      <c r="E8" s="3"/>
      <c r="F8" s="3"/>
      <c r="G8" s="3"/>
      <c r="H8" s="4"/>
    </row>
    <row r="9" spans="1:9" ht="26.4">
      <c r="B9" s="13" t="s">
        <v>23</v>
      </c>
      <c r="C9" s="14" t="s">
        <v>64</v>
      </c>
      <c r="D9" s="15" t="s">
        <v>65</v>
      </c>
      <c r="E9" s="14" t="s">
        <v>66</v>
      </c>
      <c r="F9" s="14" t="s">
        <v>46</v>
      </c>
      <c r="G9" s="16" t="s">
        <v>45</v>
      </c>
      <c r="H9" s="17" t="s">
        <v>47</v>
      </c>
      <c r="I9" s="17" t="s">
        <v>67</v>
      </c>
    </row>
    <row r="10" spans="1:9">
      <c r="A10" s="18"/>
      <c r="B10" s="19">
        <v>1</v>
      </c>
      <c r="C10" s="20" t="s">
        <v>160</v>
      </c>
      <c r="D10" s="21">
        <f>Module7!A6</f>
        <v>7</v>
      </c>
      <c r="E10" s="21">
        <f>Module7!B6</f>
        <v>0</v>
      </c>
      <c r="F10" s="21">
        <f>Module7!C6</f>
        <v>0</v>
      </c>
      <c r="G10" s="21">
        <f>Module7!D6</f>
        <v>0</v>
      </c>
      <c r="H10" s="21">
        <f>Module7!E6</f>
        <v>0</v>
      </c>
      <c r="I10" s="21">
        <f>Module7!F6</f>
        <v>7</v>
      </c>
    </row>
    <row r="11" spans="1:9">
      <c r="A11" s="18"/>
      <c r="B11" s="19">
        <v>2</v>
      </c>
      <c r="C11" s="20" t="s">
        <v>195</v>
      </c>
      <c r="D11" s="21">
        <f>Module10!A6</f>
        <v>6</v>
      </c>
      <c r="E11" s="21">
        <f>Module10!B6</f>
        <v>0</v>
      </c>
      <c r="F11" s="21">
        <f>Module10!C6</f>
        <v>0</v>
      </c>
      <c r="G11" s="21">
        <f>Module10!D6</f>
        <v>0</v>
      </c>
      <c r="H11" s="21">
        <f>Module10!E6</f>
        <v>0</v>
      </c>
      <c r="I11" s="21">
        <f>Module10!F6</f>
        <v>6</v>
      </c>
    </row>
    <row r="12" spans="1:9">
      <c r="A12" s="18"/>
      <c r="B12" s="19"/>
      <c r="C12" s="20"/>
      <c r="D12" s="21"/>
      <c r="E12" s="21"/>
      <c r="F12" s="21"/>
      <c r="G12" s="22"/>
      <c r="H12" s="22"/>
      <c r="I12" s="33"/>
    </row>
    <row r="13" spans="1:9">
      <c r="A13" s="18"/>
      <c r="B13" s="23"/>
      <c r="C13" s="24" t="s">
        <v>68</v>
      </c>
      <c r="D13" s="25">
        <f t="shared" ref="D13:I13" si="0">SUM(D8:D12)</f>
        <v>13</v>
      </c>
      <c r="E13" s="25">
        <f t="shared" si="0"/>
        <v>0</v>
      </c>
      <c r="F13" s="25">
        <f t="shared" si="0"/>
        <v>0</v>
      </c>
      <c r="G13" s="25">
        <f t="shared" si="0"/>
        <v>0</v>
      </c>
      <c r="H13" s="26">
        <f t="shared" si="0"/>
        <v>0</v>
      </c>
      <c r="I13" s="26">
        <f t="shared" si="0"/>
        <v>13</v>
      </c>
    </row>
    <row r="14" spans="1:9">
      <c r="B14" s="27"/>
      <c r="D14" s="28"/>
      <c r="E14" s="29"/>
      <c r="F14" s="29"/>
      <c r="G14" s="29"/>
      <c r="H14" s="29"/>
    </row>
    <row r="15" spans="1:9">
      <c r="C15" s="30" t="s">
        <v>69</v>
      </c>
      <c r="E15" s="31">
        <f>(D13+E13)*100/(I13-H13-G13)</f>
        <v>100</v>
      </c>
      <c r="F15" s="1" t="s">
        <v>70</v>
      </c>
      <c r="H15" s="32"/>
    </row>
    <row r="16" spans="1:9">
      <c r="C16" s="30" t="s">
        <v>71</v>
      </c>
      <c r="E16" s="31">
        <f>D13*100/(D13+E13)</f>
        <v>100</v>
      </c>
      <c r="F16" s="1" t="s">
        <v>70</v>
      </c>
      <c r="H16" s="32"/>
    </row>
  </sheetData>
  <mergeCells count="8">
    <mergeCell ref="C6:H6"/>
    <mergeCell ref="B1:H1"/>
    <mergeCell ref="C3:D3"/>
    <mergeCell ref="E3:F3"/>
    <mergeCell ref="C4:D4"/>
    <mergeCell ref="E4:F4"/>
    <mergeCell ref="C5:D5"/>
    <mergeCell ref="E5:F5"/>
  </mergeCells>
  <pageMargins left="0.74791666666666667" right="0.74791666666666667" top="0.98402777777777772" bottom="0.98402777777777772" header="0.51180555555555562" footer="0.5"/>
  <pageSetup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1696f36ed93db054fc8f4d62be39c1ae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bffc5b2d08ab4fb7daf98c77989d8342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description="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59BA9-82FE-4BE4-AE08-D18C1EBA20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d6d2771-e08b-42a3-90f8-eca630337659"/>
    <ds:schemaRef ds:uri="41A7A25E-88C5-415C-AB9A-358CCBEA8A85"/>
  </ds:schemaRefs>
</ds:datastoreItem>
</file>

<file path=customXml/itemProps2.xml><?xml version="1.0" encoding="utf-8"?>
<ds:datastoreItem xmlns:ds="http://schemas.openxmlformats.org/officeDocument/2006/customXml" ds:itemID="{898618FE-843B-48E6-B1F2-2AB76D41F459}">
  <ds:schemaRefs/>
</ds:datastoreItem>
</file>

<file path=customXml/itemProps3.xml><?xml version="1.0" encoding="utf-8"?>
<ds:datastoreItem xmlns:ds="http://schemas.openxmlformats.org/officeDocument/2006/customXml" ds:itemID="{85ED280E-F51D-42B1-B363-4EC477D089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Test case List</vt:lpstr>
      <vt:lpstr>TestDesign</vt:lpstr>
      <vt:lpstr>Module7</vt:lpstr>
      <vt:lpstr>Module10</vt:lpstr>
      <vt:lpstr>Test Report</vt:lpstr>
      <vt:lpstr>TestDesign!Print_Area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Quan Nguyen</dc:creator>
  <dc:description/>
  <cp:lastModifiedBy>Minh Quan Nguyen</cp:lastModifiedBy>
  <cp:lastPrinted>2010-11-12T10:33:20Z</cp:lastPrinted>
  <dcterms:created xsi:type="dcterms:W3CDTF">2014-07-14T08:56:24Z</dcterms:created>
  <dcterms:modified xsi:type="dcterms:W3CDTF">2025-11-15T13:46:45Z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E65E8C17B05E42549428397CE1084047_13</vt:lpwstr>
  </property>
  <property fmtid="{D5CDD505-2E9C-101B-9397-08002B2CF9AE}" pid="3" name="KSOProductBuildVer">
    <vt:lpwstr>1033-12.2.0.23155</vt:lpwstr>
  </property>
</Properties>
</file>