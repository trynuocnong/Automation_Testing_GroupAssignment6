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21" activeTab="4"/>
  </bookViews>
  <sheets>
    <sheet name="Cover" sheetId="1" r:id="rId1"/>
    <sheet name="Test case List" sheetId="2" r:id="rId2"/>
    <sheet name="TestDesign" sheetId="6" r:id="rId3"/>
    <sheet name="Module6" sheetId="3" r:id="rId4"/>
    <sheet name="Module12" sheetId="7" r:id="rId5"/>
    <sheet name="Test Report" sheetId="5" r:id="rId6"/>
  </sheets>
  <definedNames>
    <definedName name="_xlnm._FilterDatabase" localSheetId="2" hidden="1">TestDesign!$A$1:$F$17</definedName>
    <definedName name="_Toc301930468" localSheetId="2">TestDesign!#REF!</definedName>
    <definedName name="_Toc301930478" localSheetId="2">TestDesign!#REF!</definedName>
    <definedName name="ACTION">#REF!</definedName>
    <definedName name="_xlnm.Print_Area" localSheetId="2">TestDesign!$A$1:$F$17</definedName>
    <definedName name="_xlnm._FilterDatabase" localSheetId="3" hidden="1">Module6!$A$8:$H$13</definedName>
    <definedName name="_xlnm._FilterDatabase" localSheetId="4" hidden="1">Module12!$A$8:$H$21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b/>
            <sz val="10"/>
            <color indexed="8"/>
            <rFont val="Times New Roman"/>
            <charset val="0"/>
          </rPr>
          <t>*A</t>
        </r>
        <r>
          <rPr>
            <sz val="10"/>
            <color indexed="8"/>
            <rFont val="Times New Roman"/>
            <charset val="0"/>
          </rPr>
          <t xml:space="preserve">: Add
  </t>
        </r>
        <r>
          <rPr>
            <b/>
            <sz val="10"/>
            <color indexed="8"/>
            <rFont val="Times New Roman"/>
            <charset val="0"/>
          </rPr>
          <t>M</t>
        </r>
        <r>
          <rPr>
            <sz val="10"/>
            <color indexed="8"/>
            <rFont val="Times New Roman"/>
            <charset val="0"/>
          </rPr>
          <t xml:space="preserve">: Modify
  </t>
        </r>
        <r>
          <rPr>
            <b/>
            <sz val="10"/>
            <color indexed="8"/>
            <rFont val="Times New Roman"/>
            <charset val="0"/>
          </rPr>
          <t>D</t>
        </r>
        <r>
          <rPr>
            <sz val="10"/>
            <color indexed="8"/>
            <rFont val="Times New Roman"/>
            <charset val="0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Tran Thi Lanh</author>
  </authors>
  <commentList>
    <comment ref="C1" authorId="0">
      <text>
        <r>
          <rPr>
            <b/>
            <sz val="8"/>
            <rFont val="Tahoma"/>
            <charset val="0"/>
          </rPr>
          <t>Tran Thi Lanh:</t>
        </r>
        <r>
          <rPr>
            <sz val="8"/>
            <rFont val="Tahoma"/>
            <charset val="0"/>
          </rPr>
          <t xml:space="preserve">
It does not required to have 3 requirement levels. It depends on your decentralization.</t>
        </r>
      </text>
    </comment>
    <comment ref="D1" authorId="0">
      <text>
        <r>
          <rPr>
            <b/>
            <sz val="8"/>
            <rFont val="Tahoma"/>
            <charset val="0"/>
          </rPr>
          <t>Tran Thi Lanh:</t>
        </r>
        <r>
          <rPr>
            <sz val="8"/>
            <rFont val="Tahoma"/>
            <charset val="0"/>
          </rPr>
          <t xml:space="preserve">
Brief description about the case you'll check</t>
        </r>
      </text>
    </comment>
    <comment ref="E1" authorId="0">
      <text>
        <r>
          <rPr>
            <b/>
            <sz val="8"/>
            <rFont val="Tahoma"/>
            <charset val="0"/>
          </rPr>
          <t>Tran Thi Lanh:</t>
        </r>
        <r>
          <rPr>
            <sz val="8"/>
            <rFont val="Tahoma"/>
            <charset val="0"/>
          </rPr>
          <t xml:space="preserve">
GUI
Function
Non-function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8" authorId="0">
      <text>
        <r>
          <rPr>
            <b/>
            <sz val="8"/>
            <color indexed="8"/>
            <rFont val="Times New Roman"/>
            <charset val="0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8" authorId="0">
      <text>
        <r>
          <rPr>
            <b/>
            <sz val="8"/>
            <color indexed="8"/>
            <rFont val="Times New Roman"/>
            <charset val="0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<sst xmlns="http://schemas.openxmlformats.org/spreadsheetml/2006/main" count="253" uniqueCount="154">
  <si>
    <t>TEST CASE</t>
  </si>
  <si>
    <t>Project Name</t>
  </si>
  <si>
    <t>Testing using Manual &amp; Automation for hdtoday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</si>
  <si>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</si>
  <si>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</si>
  <si>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</si>
  <si>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</si>
  <si>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</si>
  <si>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</si>
  <si>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</si>
  <si>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</si>
  <si>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</si>
  <si>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</si>
  <si>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</si>
  <si>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</si>
  <si>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</si>
  <si>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</si>
  <si>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</si>
  <si>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15/11/2025</t>
  </si>
  <si>
    <t>S06</t>
  </si>
  <si>
    <t>Thêm TescaseList , TestDesign, Module6</t>
  </si>
  <si>
    <t>15/11/2026</t>
  </si>
  <si>
    <t>S12</t>
  </si>
  <si>
    <t>Thêm TescaseList , TestDesign, Module12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</si>
  <si>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</si>
  <si>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</si>
  <si>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</si>
  <si>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</si>
  <si>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</si>
  <si>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</si>
  <si>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</si>
  <si>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</si>
  <si>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Tương thích trình duyệt</t>
  </si>
  <si>
    <r>
      <t>Module</t>
    </r>
    <r>
      <rPr>
        <sz val="10"/>
        <color indexed="20"/>
        <rFont val="Tahoma"/>
        <family val="2"/>
        <charset val="0"/>
      </rPr>
      <t>6</t>
    </r>
  </si>
  <si>
    <t>Kiểm thử Form Validation</t>
  </si>
  <si>
    <t>Module12</t>
  </si>
  <si>
    <t>Login</t>
  </si>
  <si>
    <t>Requirement Level 2</t>
  </si>
  <si>
    <t>Requirement Level 3</t>
  </si>
  <si>
    <t>Test Criteria</t>
  </si>
  <si>
    <t>Test Type</t>
  </si>
  <si>
    <t>Note</t>
  </si>
  <si>
    <t>6.Compatibility</t>
  </si>
  <si>
    <t>Main Functions</t>
  </si>
  <si>
    <t>Kiểm tra chức năng Login hoạt động đúng trên tất cả trình duyệt</t>
  </si>
  <si>
    <t>Function</t>
  </si>
  <si>
    <t>Search</t>
  </si>
  <si>
    <t>Kiểm tra chức năng Search hoạt động đúng trên tất cả trình duyệt</t>
  </si>
  <si>
    <t>Logout</t>
  </si>
  <si>
    <t>Kiểm tra chức năng Logout hoạt động đúng trên tất cả trình duyệt</t>
  </si>
  <si>
    <t>UI Rendering</t>
  </si>
  <si>
    <t>Layout</t>
  </si>
  <si>
    <t>Kiểm tra giao diện và layout hiển thị đúng trên các trình duyệt</t>
  </si>
  <si>
    <t>GUI</t>
  </si>
  <si>
    <t>12.Form Validation</t>
  </si>
  <si>
    <t>Success</t>
  </si>
  <si>
    <t>Login với thông tin hợp lệ</t>
  </si>
  <si>
    <t>Invalid Password</t>
  </si>
  <si>
    <t>Login với mật khẩu sai</t>
  </si>
  <si>
    <t>Invalid Email Format</t>
  </si>
  <si>
    <t>Định dạng email không hợp lệ</t>
  </si>
  <si>
    <t>Empty Fields</t>
  </si>
  <si>
    <t>Để trống toàn bộ form</t>
  </si>
  <si>
    <t>Wrong User</t>
  </si>
  <si>
    <t>Email không tồn tại</t>
  </si>
  <si>
    <t>Register</t>
  </si>
  <si>
    <t>Đăng ký với thông tin hợp lệ</t>
  </si>
  <si>
    <t>Để trống toàn bộ form đăng ký</t>
  </si>
  <si>
    <t>Short Password</t>
  </si>
  <si>
    <t>Mật khẩu &lt; 6 ký tự</t>
  </si>
  <si>
    <t>Confirm Mismatch</t>
  </si>
  <si>
    <t>Password ≠ Confirm Password</t>
  </si>
  <si>
    <t>Duplicate Email</t>
  </si>
  <si>
    <t>Email đã tồn tại</t>
  </si>
  <si>
    <t>Numeric-only Password</t>
  </si>
  <si>
    <t>Password chỉ chứa số</t>
  </si>
  <si>
    <t>Dùng để kiểm tra rule password</t>
  </si>
  <si>
    <t>Module Code</t>
  </si>
  <si>
    <t>Module6</t>
  </si>
  <si>
    <t>Passed</t>
  </si>
  <si>
    <t>Test requirement</t>
  </si>
  <si>
    <t>&lt;Brief description about requirements which are tested in this sheet&gt;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</si>
  <si>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</si>
  <si>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</si>
  <si>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</si>
  <si>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</si>
  <si>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</si>
  <si>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</si>
  <si>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</si>
  <si>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</si>
  <si>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</si>
  <si>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</si>
  <si>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</si>
  <si>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</si>
  <si>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</si>
  <si>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Function A</t>
  </si>
  <si>
    <t>Verify Login works correctly across different browsers</t>
  </si>
  <si>
    <t>1.Mở trang web trên trình duyệt bất kỳ (Chrome/Edge/Firefox/Safari)
2.Nhập email hợp lệ.
3.Nhập mật khẩu hợp lệ.
4.Nhấn “Login”.</t>
  </si>
  <si>
    <t>- Hệ thống đăng nhập thành công và chuyển đến trang chủ.
- Kết quả giống nhau trên tất cả trình duyệt.</t>
  </si>
  <si>
    <t>Không</t>
  </si>
  <si>
    <t>Verify Login validation behaves the same across browsers</t>
  </si>
  <si>
    <t>1.Mở trang Login trên các trình duyệt.
2.Nhập email sai hoặc mật khẩu sai.
3.Nhấn “Login”.</t>
  </si>
  <si>
    <t>Hiện thông báo lỗi giống nhau trên tất cả trình duyệt.
Không tự reload trang.</t>
  </si>
  <si>
    <t>Verify Search function works correctly across browsers</t>
  </si>
  <si>
    <t>1.Mở trang Home trên các trình duyệt.
2.Nhập tên phim có tồn tại (vd: "Avengers").
3.Nhấn nút Search.</t>
  </si>
  <si>
    <t>Danh sách phim liên quan được hiển thị giống nhau trên tất cả trình duyệt.</t>
  </si>
  <si>
    <t>Verify Search invalid keyword behaves consistently</t>
  </si>
  <si>
    <t>1.Nhập từ khóa không tồn tại (vd: "aaaaaaa").
2.Nhấn Search.</t>
  </si>
  <si>
    <t>Hiện thông báo “Không tìm thấy kết quả”.
Không lỗi UI.</t>
  </si>
  <si>
    <t>Verify UI layout and components render correctly</t>
  </si>
  <si>
    <t>1.Mở trang Home trên từng trình duyệt.
2.Quan sát layout, font, spacing.
3.Cuộn trang để kiểm tra lazy loading.</t>
  </si>
  <si>
    <t>Layout không bị vỡ.
Hình ảnh hiển thị đúng.
Không lỗi CSS giữa các trình duyệt.</t>
  </si>
  <si>
    <t>Function A - Login validation</t>
  </si>
  <si>
    <t>Login with valid information</t>
  </si>
  <si>
    <t>1.Mở trang Login.
2.Nhập email hợp lệ và mật khẩu đúng.
3.Nhấn Login.</t>
  </si>
  <si>
    <t>Đăng nhập thành công → chuyển sang trang chủ.</t>
  </si>
  <si>
    <t>Login with invalid email format</t>
  </si>
  <si>
    <t>1.Nhập email sai định dạng (vd: abc123).
2.Nhấn Login.</t>
  </si>
  <si>
    <t>Hiện lỗi “Email không hợp lệ”.</t>
  </si>
  <si>
    <t>Login with wrong password</t>
  </si>
  <si>
    <t>1.Nhập email hợp lệ nhưng mật khẩu sai.
2.Nhấn Login.</t>
  </si>
  <si>
    <t>Hiện lỗi “Sai mật khẩu”.</t>
  </si>
  <si>
    <t xml:space="preserve">Không nhập vào gì </t>
  </si>
  <si>
    <t>Login with wrong user</t>
  </si>
  <si>
    <t>1.Nhập email không hợp lệ nhưng mật khẩu tùy ý.
2.Nhấn Login.</t>
  </si>
  <si>
    <t>Function B - Register validation</t>
  </si>
  <si>
    <t>Register with valid inputs</t>
  </si>
  <si>
    <t>1.Mở trang Register.
2.Nhập đầy đủ thông tin hợp lệ.
3.Nhấn Register.</t>
  </si>
  <si>
    <t>Tạo tài khoản thành công.
Chuyển đến trang Login hoặc Home.</t>
  </si>
  <si>
    <t>Register with invalid password</t>
  </si>
  <si>
    <t>1.Mở trang Register.
2.Nhập password &lt; 6 ký tự.
3.Nhấn Register.</t>
  </si>
  <si>
    <t>Hiện lỗi “Mật khẩu quá ngắn”.</t>
  </si>
  <si>
    <t>Confirm wrong password</t>
  </si>
  <si>
    <t>1.Mở trang Register.
2.Nhập confirm password sai.
3.Nhấn Register.</t>
  </si>
  <si>
    <t>Hiện lỗi “Mật khẩu xác nhận không khớp”.</t>
  </si>
  <si>
    <t>Register with duplicate email</t>
  </si>
  <si>
    <t>1.Mở trang Register.
2.Nhập trùng email đã tạo rồi.
3.Nhấn Register.</t>
  </si>
  <si>
    <t>Hiện lỗi “Email đã tồn tại”.</t>
  </si>
  <si>
    <t>Register with Numeric-only  password</t>
  </si>
  <si>
    <t>1.Mở trang Register.
2.Nhập password toàn số.
3.Nhấn Register.</t>
  </si>
  <si>
    <t>Hiện lỗi “Mật khẩu phải có định dạng đúng”.</t>
  </si>
  <si>
    <t>TEST REPORT</t>
  </si>
  <si>
    <t>&lt;Project Name&gt;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</si>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</sst>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\-mmm\-yy;@"/>
  </numFmts>
  <fonts count="47">
    <font>
      <sz val="11"/>
      <name val="ＭＳ Ｐゴシック"/>
      <family val="2"/>
      <charset val="0"/>
    </font>
    <font>
      <sz val="10"/>
      <name val="Tahoma"/>
      <family val="2"/>
      <charset val="0"/>
    </font>
    <font>
      <b/>
      <sz val="20"/>
      <color indexed="8"/>
      <name val="Tahoma"/>
      <family val="2"/>
      <charset val="0"/>
    </font>
    <font>
      <b/>
      <sz val="10"/>
      <name val="Tahoma"/>
      <family val="2"/>
      <charset val="0"/>
    </font>
    <font>
      <b/>
      <sz val="10"/>
      <color indexed="60"/>
      <name val="Tahoma"/>
      <family val="2"/>
      <charset val="0"/>
    </font>
    <font>
      <i/>
      <sz val="10"/>
      <color indexed="17"/>
      <name val="Tahoma"/>
      <family val="2"/>
      <charset val="0"/>
    </font>
    <font>
      <b/>
      <sz val="10"/>
      <color indexed="9"/>
      <name val="Tahoma"/>
      <family val="2"/>
      <charset val="0"/>
    </font>
    <font>
      <sz val="10"/>
      <color indexed="9"/>
      <name val="Tahoma"/>
      <family val="2"/>
      <charset val="0"/>
    </font>
    <font>
      <b/>
      <sz val="10"/>
      <color indexed="12"/>
      <name val="Tahoma"/>
      <family val="2"/>
      <charset val="0"/>
    </font>
    <font>
      <sz val="10"/>
      <color indexed="8"/>
      <name val="Tahoma"/>
      <family val="2"/>
      <charset val="0"/>
    </font>
    <font>
      <sz val="10"/>
      <color indexed="10"/>
      <name val="Tahoma"/>
      <family val="2"/>
      <charset val="0"/>
    </font>
    <font>
      <b/>
      <sz val="10"/>
      <color indexed="8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theme="1"/>
      <name val="Arial"/>
      <family val="2"/>
      <charset val="0"/>
    </font>
    <font>
      <b/>
      <sz val="10"/>
      <color indexed="10"/>
      <name val="Tahoma"/>
      <family val="2"/>
      <charset val="0"/>
    </font>
    <font>
      <b/>
      <sz val="10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u/>
      <sz val="10"/>
      <color rgb="FF800080"/>
      <name val="Tahoma"/>
      <family val="2"/>
      <charset val="0"/>
    </font>
    <font>
      <u/>
      <sz val="10"/>
      <color indexed="12"/>
      <name val="Tahoma"/>
      <family val="2"/>
      <charset val="0"/>
    </font>
    <font>
      <b/>
      <sz val="22"/>
      <color indexed="10"/>
      <name val="Tahoma"/>
      <family val="2"/>
      <charset val="0"/>
    </font>
    <font>
      <sz val="10"/>
      <name val="Arial"/>
      <family val="2"/>
      <charset val="0"/>
    </font>
    <font>
      <u/>
      <sz val="11"/>
      <color indexed="12"/>
      <name val="ＭＳ Ｐゴシック"/>
      <family val="2"/>
      <charset val="0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1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sz val="9"/>
      <name val="ＭＳ ゴシック"/>
      <family val="3"/>
      <charset val="0"/>
    </font>
    <font>
      <sz val="10"/>
      <color indexed="20"/>
      <name val="Tahoma"/>
      <family val="2"/>
      <charset val="0"/>
    </font>
    <font>
      <b/>
      <sz val="8"/>
      <name val="Tahoma"/>
      <charset val="0"/>
    </font>
    <font>
      <b/>
      <sz val="10"/>
      <color indexed="8"/>
      <name val="Times New Roman"/>
      <charset val="0"/>
    </font>
    <font>
      <sz val="10"/>
      <color indexed="8"/>
      <name val="Times New Roman"/>
      <charset val="0"/>
    </font>
    <font>
      <b/>
      <sz val="8"/>
      <color indexed="8"/>
      <name val="Times New Roman"/>
      <charset val="0"/>
    </font>
    <font>
      <sz val="8"/>
      <name val="Tahoma"/>
      <charset val="0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62"/>
        <bgColor indexed="5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thin">
        <color indexed="8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20" fillId="0" borderId="0" applyFill="0" applyBorder="0" applyAlignment="0" applyProtection="0"/>
    <xf numFmtId="44" fontId="20" fillId="0" borderId="0" applyFill="0" applyBorder="0" applyAlignment="0" applyProtection="0"/>
    <xf numFmtId="9" fontId="20" fillId="0" borderId="0" applyFill="0" applyBorder="0" applyAlignment="0" applyProtection="0"/>
    <xf numFmtId="41" fontId="20" fillId="0" borderId="0" applyFill="0" applyBorder="0" applyAlignment="0" applyProtection="0"/>
    <xf numFmtId="42" fontId="20" fillId="0" borderId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0" fillId="6" borderId="31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32" applyNumberFormat="0" applyFill="0" applyAlignment="0" applyProtection="0"/>
    <xf numFmtId="0" fontId="27" fillId="0" borderId="33" applyNumberFormat="0" applyFill="0" applyAlignment="0" applyProtection="0"/>
    <xf numFmtId="0" fontId="28" fillId="0" borderId="34" applyNumberFormat="0" applyFill="0" applyAlignment="0" applyProtection="0"/>
    <xf numFmtId="0" fontId="28" fillId="0" borderId="0" applyNumberFormat="0" applyFill="0" applyBorder="0" applyAlignment="0" applyProtection="0"/>
    <xf numFmtId="0" fontId="29" fillId="7" borderId="35" applyNumberFormat="0" applyAlignment="0" applyProtection="0"/>
    <xf numFmtId="0" fontId="30" fillId="8" borderId="36" applyNumberFormat="0" applyAlignment="0" applyProtection="0"/>
    <xf numFmtId="0" fontId="31" fillId="8" borderId="35" applyNumberFormat="0" applyAlignment="0" applyProtection="0"/>
    <xf numFmtId="0" fontId="32" fillId="9" borderId="37" applyNumberFormat="0" applyAlignment="0" applyProtection="0"/>
    <xf numFmtId="0" fontId="33" fillId="0" borderId="38" applyNumberFormat="0" applyFill="0" applyAlignment="0" applyProtection="0"/>
    <xf numFmtId="0" fontId="34" fillId="0" borderId="39" applyNumberFormat="0" applyFill="0" applyAlignment="0" applyProtection="0"/>
    <xf numFmtId="0" fontId="35" fillId="10" borderId="0" applyNumberFormat="0" applyBorder="0" applyAlignment="0" applyProtection="0"/>
    <xf numFmtId="0" fontId="36" fillId="11" borderId="0" applyNumberFormat="0" applyBorder="0" applyAlignment="0" applyProtection="0"/>
    <xf numFmtId="0" fontId="37" fillId="12" borderId="0" applyNumberFormat="0" applyBorder="0" applyAlignment="0" applyProtection="0"/>
    <xf numFmtId="0" fontId="38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0"/>
    <xf numFmtId="0" fontId="39" fillId="0" borderId="0"/>
    <xf numFmtId="0" fontId="0" fillId="0" borderId="0"/>
    <xf numFmtId="0" fontId="0" fillId="0" borderId="0"/>
    <xf numFmtId="0" fontId="40" fillId="0" borderId="0"/>
  </cellStyleXfs>
  <cellXfs count="156">
    <xf numFmtId="0" fontId="0" fillId="0" borderId="0" xfId="0"/>
    <xf numFmtId="0" fontId="1" fillId="2" borderId="0" xfId="0" applyFont="1" applyFill="1"/>
    <xf numFmtId="0" fontId="2" fillId="2" borderId="0" xfId="51" applyFont="1" applyFill="1" applyBorder="1" applyAlignment="1">
      <alignment horizontal="center"/>
    </xf>
    <xf numFmtId="0" fontId="3" fillId="2" borderId="0" xfId="51" applyFont="1" applyFill="1" applyBorder="1"/>
    <xf numFmtId="0" fontId="1" fillId="2" borderId="0" xfId="51" applyFont="1" applyFill="1" applyBorder="1"/>
    <xf numFmtId="176" fontId="1" fillId="2" borderId="0" xfId="51" applyNumberFormat="1" applyFont="1" applyFill="1" applyBorder="1"/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/>
    </xf>
    <xf numFmtId="0" fontId="5" fillId="2" borderId="1" xfId="51" applyFont="1" applyFill="1" applyBorder="1" applyAlignment="1">
      <alignment vertical="top"/>
    </xf>
    <xf numFmtId="0" fontId="4" fillId="2" borderId="0" xfId="0" applyFont="1" applyFill="1"/>
    <xf numFmtId="0" fontId="5" fillId="2" borderId="0" xfId="51" applyFont="1" applyFill="1" applyBorder="1"/>
    <xf numFmtId="0" fontId="1" fillId="2" borderId="0" xfId="0" applyFont="1" applyFill="1" applyBorder="1"/>
    <xf numFmtId="0" fontId="6" fillId="3" borderId="3" xfId="0" applyNumberFormat="1" applyFont="1" applyFill="1" applyBorder="1" applyAlignment="1">
      <alignment horizontal="center"/>
    </xf>
    <xf numFmtId="0" fontId="6" fillId="3" borderId="4" xfId="0" applyNumberFormat="1" applyFont="1" applyFill="1" applyBorder="1" applyAlignment="1">
      <alignment horizontal="center"/>
    </xf>
    <xf numFmtId="0" fontId="6" fillId="3" borderId="4" xfId="0" applyNumberFormat="1" applyFont="1" applyFill="1" applyBorder="1" applyAlignment="1">
      <alignment horizontal="center" wrapText="1"/>
    </xf>
    <xf numFmtId="0" fontId="6" fillId="3" borderId="5" xfId="0" applyNumberFormat="1" applyFont="1" applyFill="1" applyBorder="1" applyAlignment="1">
      <alignment horizontal="center"/>
    </xf>
    <xf numFmtId="0" fontId="6" fillId="3" borderId="6" xfId="0" applyNumberFormat="1" applyFont="1" applyFill="1" applyBorder="1" applyAlignment="1">
      <alignment horizontal="center" wrapText="1"/>
    </xf>
    <xf numFmtId="0" fontId="1" fillId="2" borderId="7" xfId="0" applyFont="1" applyFill="1" applyBorder="1" applyAlignment="1"/>
    <xf numFmtId="0" fontId="1" fillId="2" borderId="8" xfId="0" applyNumberFormat="1" applyFont="1" applyFill="1" applyBorder="1" applyAlignment="1">
      <alignment horizontal="center"/>
    </xf>
    <xf numFmtId="0" fontId="1" fillId="2" borderId="9" xfId="0" applyNumberFormat="1" applyFont="1" applyFill="1" applyBorder="1"/>
    <xf numFmtId="0" fontId="1" fillId="2" borderId="9" xfId="0" applyNumberFormat="1" applyFont="1" applyFill="1" applyBorder="1" applyAlignment="1">
      <alignment horizontal="center"/>
    </xf>
    <xf numFmtId="0" fontId="1" fillId="2" borderId="7" xfId="0" applyFont="1" applyFill="1" applyBorder="1"/>
    <xf numFmtId="0" fontId="7" fillId="3" borderId="10" xfId="0" applyNumberFormat="1" applyFont="1" applyFill="1" applyBorder="1" applyAlignment="1">
      <alignment horizontal="center"/>
    </xf>
    <xf numFmtId="0" fontId="6" fillId="3" borderId="11" xfId="0" applyFont="1" applyFill="1" applyBorder="1"/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2" fontId="8" fillId="2" borderId="0" xfId="0" applyNumberFormat="1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center" wrapText="1"/>
    </xf>
    <xf numFmtId="0" fontId="9" fillId="2" borderId="0" xfId="0" applyFont="1" applyFill="1" applyAlignment="1"/>
    <xf numFmtId="0" fontId="9" fillId="2" borderId="0" xfId="0" applyFont="1" applyFill="1" applyAlignment="1">
      <alignment vertical="top"/>
    </xf>
    <xf numFmtId="0" fontId="1" fillId="2" borderId="0" xfId="0" applyFont="1" applyFill="1" applyAlignment="1"/>
    <xf numFmtId="0" fontId="10" fillId="2" borderId="0" xfId="0" applyFont="1" applyFill="1"/>
    <xf numFmtId="0" fontId="9" fillId="2" borderId="13" xfId="0" applyFont="1" applyFill="1" applyBorder="1" applyAlignment="1"/>
    <xf numFmtId="0" fontId="9" fillId="2" borderId="13" xfId="0" applyFont="1" applyFill="1" applyBorder="1" applyAlignment="1">
      <alignment wrapText="1"/>
    </xf>
    <xf numFmtId="0" fontId="1" fillId="2" borderId="13" xfId="0" applyFont="1" applyFill="1" applyBorder="1" applyAlignment="1">
      <alignment wrapText="1"/>
    </xf>
    <xf numFmtId="0" fontId="3" fillId="2" borderId="0" xfId="0" applyFont="1" applyFill="1" applyAlignment="1" applyProtection="1">
      <alignment wrapText="1"/>
    </xf>
    <xf numFmtId="0" fontId="1" fillId="2" borderId="0" xfId="0" applyFont="1" applyFill="1" applyAlignment="1">
      <alignment wrapText="1"/>
    </xf>
    <xf numFmtId="0" fontId="3" fillId="2" borderId="14" xfId="52" applyFont="1" applyFill="1" applyBorder="1" applyAlignment="1">
      <alignment horizontal="left" wrapText="1"/>
    </xf>
    <xf numFmtId="0" fontId="5" fillId="2" borderId="15" xfId="52" applyFont="1" applyFill="1" applyBorder="1" applyAlignment="1">
      <alignment horizontal="left" vertical="center" wrapText="1"/>
    </xf>
    <xf numFmtId="0" fontId="3" fillId="2" borderId="16" xfId="52" applyFont="1" applyFill="1" applyBorder="1" applyAlignment="1">
      <alignment horizontal="left" wrapText="1"/>
    </xf>
    <xf numFmtId="0" fontId="11" fillId="2" borderId="16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vertical="center" wrapText="1"/>
    </xf>
    <xf numFmtId="0" fontId="9" fillId="2" borderId="17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6" fillId="3" borderId="1" xfId="52" applyFont="1" applyFill="1" applyBorder="1" applyAlignment="1">
      <alignment horizontal="center" vertical="center" wrapText="1"/>
    </xf>
    <xf numFmtId="0" fontId="6" fillId="3" borderId="18" xfId="52" applyFont="1" applyFill="1" applyBorder="1" applyAlignment="1">
      <alignment horizontal="center" vertical="center" wrapText="1"/>
    </xf>
    <xf numFmtId="0" fontId="3" fillId="4" borderId="19" xfId="52" applyFont="1" applyFill="1" applyBorder="1" applyAlignment="1">
      <alignment horizontal="left" vertical="center"/>
    </xf>
    <xf numFmtId="0" fontId="3" fillId="4" borderId="20" xfId="52" applyFont="1" applyFill="1" applyBorder="1" applyAlignment="1">
      <alignment horizontal="left" vertical="center"/>
    </xf>
    <xf numFmtId="0" fontId="3" fillId="4" borderId="2" xfId="52" applyFont="1" applyFill="1" applyBorder="1" applyAlignment="1">
      <alignment horizontal="left" vertical="center"/>
    </xf>
    <xf numFmtId="0" fontId="1" fillId="2" borderId="1" xfId="52" applyFont="1" applyFill="1" applyBorder="1" applyAlignment="1">
      <alignment vertical="top" wrapText="1"/>
    </xf>
    <xf numFmtId="0" fontId="12" fillId="2" borderId="1" xfId="52" applyNumberFormat="1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/>
    <xf numFmtId="0" fontId="1" fillId="2" borderId="1" xfId="0" applyFont="1" applyFill="1" applyBorder="1"/>
    <xf numFmtId="0" fontId="13" fillId="0" borderId="21" xfId="50" applyFont="1" applyBorder="1" applyAlignment="1">
      <alignment vertical="center" wrapText="1"/>
    </xf>
    <xf numFmtId="0" fontId="3" fillId="0" borderId="22" xfId="52" applyFont="1" applyFill="1" applyBorder="1" applyAlignment="1">
      <alignment horizontal="left" vertical="center"/>
    </xf>
    <xf numFmtId="0" fontId="1" fillId="2" borderId="0" xfId="52" applyFont="1" applyFill="1" applyBorder="1" applyAlignment="1">
      <alignment vertical="top"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Border="1" applyAlignment="1">
      <alignment horizontal="center" wrapText="1"/>
    </xf>
    <xf numFmtId="0" fontId="14" fillId="2" borderId="0" xfId="52" applyFont="1" applyFill="1" applyBorder="1" applyAlignment="1">
      <alignment horizontal="center" vertical="center" wrapText="1"/>
    </xf>
    <xf numFmtId="0" fontId="14" fillId="2" borderId="0" xfId="52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top" wrapText="1"/>
    </xf>
    <xf numFmtId="0" fontId="10" fillId="2" borderId="0" xfId="0" applyFont="1" applyFill="1" applyBorder="1"/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top" wrapText="1"/>
    </xf>
    <xf numFmtId="0" fontId="15" fillId="0" borderId="0" xfId="50" applyFont="1" applyAlignment="1">
      <alignment horizontal="center" vertical="center"/>
    </xf>
    <xf numFmtId="0" fontId="16" fillId="0" borderId="0" xfId="50" applyFont="1" applyAlignment="1">
      <alignment horizontal="left" vertical="center" wrapText="1"/>
    </xf>
    <xf numFmtId="0" fontId="16" fillId="0" borderId="0" xfId="50" applyFont="1" applyAlignment="1">
      <alignment vertical="center" wrapText="1"/>
    </xf>
    <xf numFmtId="0" fontId="16" fillId="0" borderId="0" xfId="50" applyFont="1" applyAlignment="1">
      <alignment vertical="center"/>
    </xf>
    <xf numFmtId="0" fontId="13" fillId="0" borderId="23" xfId="50" applyFont="1" applyBorder="1" applyAlignment="1">
      <alignment horizontal="center" vertical="center" wrapText="1"/>
    </xf>
    <xf numFmtId="0" fontId="13" fillId="0" borderId="23" xfId="50" applyFont="1" applyBorder="1" applyAlignment="1">
      <alignment vertical="center" wrapText="1"/>
    </xf>
    <xf numFmtId="0" fontId="13" fillId="0" borderId="24" xfId="50" applyFont="1" applyBorder="1" applyAlignment="1">
      <alignment vertical="center" wrapText="1"/>
    </xf>
    <xf numFmtId="0" fontId="13" fillId="0" borderId="24" xfId="50" applyFont="1" applyFill="1" applyBorder="1" applyAlignment="1">
      <alignment horizontal="left" vertical="center" wrapText="1"/>
    </xf>
    <xf numFmtId="0" fontId="13" fillId="0" borderId="21" xfId="5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Protection="1">
      <protection hidden="1"/>
    </xf>
    <xf numFmtId="0" fontId="2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1" fontId="4" fillId="2" borderId="19" xfId="0" applyNumberFormat="1" applyFont="1" applyFill="1" applyBorder="1" applyAlignment="1"/>
    <xf numFmtId="1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1" fontId="4" fillId="2" borderId="0" xfId="0" applyNumberFormat="1" applyFont="1" applyFill="1" applyBorder="1" applyAlignment="1"/>
    <xf numFmtId="0" fontId="1" fillId="2" borderId="0" xfId="0" applyFont="1" applyFill="1" applyBorder="1" applyAlignment="1"/>
    <xf numFmtId="1" fontId="1" fillId="2" borderId="0" xfId="0" applyNumberFormat="1" applyFont="1" applyFill="1" applyAlignment="1" applyProtection="1">
      <alignment vertical="center"/>
      <protection hidden="1"/>
    </xf>
    <xf numFmtId="0" fontId="1" fillId="2" borderId="0" xfId="0" applyFont="1" applyFill="1" applyAlignment="1">
      <alignment horizontal="left" vertical="center"/>
    </xf>
    <xf numFmtId="1" fontId="6" fillId="5" borderId="25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vertical="center"/>
    </xf>
    <xf numFmtId="49" fontId="1" fillId="2" borderId="9" xfId="0" applyNumberFormat="1" applyFont="1" applyFill="1" applyBorder="1" applyAlignment="1">
      <alignment horizontal="left" vertical="center"/>
    </xf>
    <xf numFmtId="0" fontId="17" fillId="2" borderId="9" xfId="6" applyNumberFormat="1" applyFont="1" applyFill="1" applyBorder="1" applyAlignment="1" applyProtection="1">
      <alignment horizontal="left" vertical="center"/>
    </xf>
    <xf numFmtId="0" fontId="18" fillId="2" borderId="9" xfId="6" applyNumberFormat="1" applyFont="1" applyFill="1" applyBorder="1" applyAlignment="1" applyProtection="1">
      <alignment horizontal="left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1" fontId="1" fillId="2" borderId="29" xfId="0" applyNumberFormat="1" applyFont="1" applyFill="1" applyBorder="1" applyAlignment="1">
      <alignment vertical="center"/>
    </xf>
    <xf numFmtId="49" fontId="1" fillId="2" borderId="11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19" fillId="2" borderId="0" xfId="0" applyFont="1" applyFill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5" fillId="0" borderId="1" xfId="0" applyFont="1" applyBorder="1" applyAlignment="1">
      <alignment horizontal="left"/>
    </xf>
    <xf numFmtId="0" fontId="1" fillId="0" borderId="2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indent="1"/>
    </xf>
    <xf numFmtId="0" fontId="4" fillId="2" borderId="0" xfId="0" applyFont="1" applyFill="1" applyBorder="1"/>
    <xf numFmtId="0" fontId="5" fillId="0" borderId="0" xfId="0" applyFont="1" applyBorder="1" applyAlignment="1">
      <alignment horizontal="left"/>
    </xf>
    <xf numFmtId="0" fontId="1" fillId="0" borderId="0" xfId="0" applyFont="1" applyBorder="1" applyAlignment="1"/>
    <xf numFmtId="0" fontId="4" fillId="2" borderId="0" xfId="0" applyFont="1" applyFill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1" fillId="0" borderId="0" xfId="0" applyFont="1" applyBorder="1"/>
    <xf numFmtId="0" fontId="4" fillId="0" borderId="0" xfId="0" applyFont="1" applyAlignment="1">
      <alignment horizontal="left"/>
    </xf>
    <xf numFmtId="176" fontId="6" fillId="3" borderId="25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5" fillId="0" borderId="27" xfId="0" applyFont="1" applyBorder="1" applyAlignment="1">
      <alignment vertical="top" wrapText="1"/>
    </xf>
    <xf numFmtId="49" fontId="1" fillId="0" borderId="9" xfId="0" applyNumberFormat="1" applyFont="1" applyBorder="1" applyAlignment="1">
      <alignment vertical="top"/>
    </xf>
    <xf numFmtId="0" fontId="1" fillId="0" borderId="9" xfId="0" applyFont="1" applyBorder="1" applyAlignment="1">
      <alignment vertical="top"/>
    </xf>
    <xf numFmtId="15" fontId="1" fillId="0" borderId="9" xfId="0" applyNumberFormat="1" applyFont="1" applyBorder="1" applyAlignment="1">
      <alignment vertical="top"/>
    </xf>
    <xf numFmtId="0" fontId="5" fillId="0" borderId="28" xfId="0" applyFont="1" applyBorder="1" applyAlignment="1">
      <alignment vertical="top" wrapText="1"/>
    </xf>
    <xf numFmtId="176" fontId="1" fillId="0" borderId="27" xfId="0" applyNumberFormat="1" applyFont="1" applyFill="1" applyBorder="1" applyAlignment="1">
      <alignment vertical="top"/>
    </xf>
    <xf numFmtId="49" fontId="1" fillId="0" borderId="9" xfId="0" applyNumberFormat="1" applyFont="1" applyFill="1" applyBorder="1" applyAlignment="1">
      <alignment vertical="top"/>
    </xf>
    <xf numFmtId="0" fontId="1" fillId="0" borderId="9" xfId="0" applyFont="1" applyFill="1" applyBorder="1" applyAlignment="1">
      <alignment vertical="top"/>
    </xf>
    <xf numFmtId="0" fontId="1" fillId="0" borderId="28" xfId="0" applyFont="1" applyBorder="1" applyAlignment="1">
      <alignment vertical="top"/>
    </xf>
    <xf numFmtId="176" fontId="1" fillId="0" borderId="27" xfId="0" applyNumberFormat="1" applyFont="1" applyBorder="1" applyAlignment="1">
      <alignment vertical="top"/>
    </xf>
    <xf numFmtId="176" fontId="1" fillId="0" borderId="29" xfId="0" applyNumberFormat="1" applyFont="1" applyBorder="1" applyAlignment="1">
      <alignment vertical="top"/>
    </xf>
    <xf numFmtId="49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9" fillId="2" borderId="1" xfId="0" applyFont="1" applyFill="1" applyBorder="1" applyAlignment="1" quotePrefix="1">
      <alignment horizontal="left" vertical="top" wrapText="1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_Functional Test Case v1.0" xfId="51"/>
    <cellStyle name="Normal_Sheet1" xfId="52"/>
    <cellStyle name="標準_結合試験(AllOvertheWorld)" xfId="53"/>
  </cellStyles>
  <tableStyles count="0" defaultTableStyle="TableStyleMedium9" defaultPivotStyle="PivotStyleLight16"/>
  <colors>
    <mruColors>
      <color rgb="00800080"/>
      <color rgb="00333399"/>
      <color rgb="000000FF"/>
      <color rgb="00CCFFFF"/>
      <color rgb="00993300"/>
      <color rgb="00008000"/>
      <color rgb="00000080"/>
      <color rgb="00FF00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8"/>
  <sheetViews>
    <sheetView zoomScaleSheetLayoutView="60" workbookViewId="0">
      <selection activeCell="E21" sqref="E21"/>
    </sheetView>
  </sheetViews>
  <sheetFormatPr defaultColWidth="8.88888888888889" defaultRowHeight="13.2" outlineLevelCol="6"/>
  <cols>
    <col min="1" max="1" width="2.25" style="119" customWidth="1"/>
    <col min="2" max="2" width="19.6296296296296" style="120" customWidth="1"/>
    <col min="3" max="3" width="9.25" style="119" customWidth="1"/>
    <col min="4" max="4" width="14.5" style="119" customWidth="1"/>
    <col min="5" max="5" width="18.2222222222222" style="119" customWidth="1"/>
    <col min="6" max="6" width="38.7777777777778" style="119" customWidth="1"/>
    <col min="7" max="7" width="31" style="119" customWidth="1"/>
    <col min="8" max="16384" width="9" style="119"/>
  </cols>
  <sheetData>
    <row r="2" s="116" customFormat="1" ht="75.75" customHeight="1" spans="1:7">
      <c r="A2" s="121"/>
      <c r="B2" s="122" t="s">
        <v>0</v>
      </c>
      <c r="C2" s="123"/>
      <c r="D2" s="123"/>
      <c r="E2" s="123"/>
      <c r="F2" s="123"/>
      <c r="G2" s="124"/>
    </row>
    <row r="3" spans="2:6">
      <c r="B3" s="125"/>
      <c r="C3" s="126"/>
      <c r="F3" s="1"/>
    </row>
    <row r="4" ht="14.25" customHeight="1" spans="2:7">
      <c r="B4" s="8" t="s">
        <v>1</v>
      </c>
      <c r="C4" s="127" t="s">
        <v>2</v>
      </c>
      <c r="D4" s="127"/>
      <c r="E4" s="127"/>
      <c r="F4" s="8" t="s">
        <v>3</v>
      </c>
      <c r="G4" s="128"/>
    </row>
    <row r="5" ht="14.25" customHeight="1" spans="2:7">
      <c r="B5" s="8" t="s">
        <v>4</v>
      </c>
      <c r="C5" s="127" t="s">
        <v>5</v>
      </c>
      <c r="D5" s="127"/>
      <c r="E5" s="127"/>
      <c r="F5" s="8" t="s">
        <v>6</v>
      </c>
      <c r="G5" s="128"/>
    </row>
    <row r="6" ht="15.75" customHeight="1" spans="2:7">
      <c r="B6" s="6" t="s">
        <v>7</v>
      </c>
      <c r="C6" s="129" t="str">
        <f>C5&amp;"_"&amp;"XXX"&amp;"_"&amp;"vx.x"</f>
        <v>&lt;Project Code&gt;_XXX_vx.x</v>
      </c>
      <c r="D6" s="129"/>
      <c r="E6" s="129"/>
      <c r="F6" s="8" t="s">
        <v>8</v>
      </c>
      <c r="G6" s="130"/>
    </row>
    <row r="7" ht="13.5" customHeight="1" spans="2:7">
      <c r="B7" s="6"/>
      <c r="C7" s="129"/>
      <c r="D7" s="129"/>
      <c r="E7" s="129"/>
      <c r="F7" s="8" t="s">
        <v>9</v>
      </c>
      <c r="G7" s="130"/>
    </row>
    <row r="8" spans="2:7">
      <c r="B8" s="131"/>
      <c r="C8" s="132"/>
      <c r="D8" s="133"/>
      <c r="E8" s="133"/>
      <c r="F8" s="134"/>
      <c r="G8" s="135"/>
    </row>
    <row r="9" spans="2:6">
      <c r="B9" s="136"/>
      <c r="C9" s="137"/>
      <c r="D9" s="137"/>
      <c r="E9" s="137"/>
      <c r="F9" s="137"/>
    </row>
    <row r="10" spans="2:2">
      <c r="B10" s="138" t="s">
        <v>10</v>
      </c>
    </row>
    <row r="11" s="117" customFormat="1" spans="2:7">
      <c r="B11" s="139" t="s">
        <v>11</v>
      </c>
      <c r="C11" s="140" t="s">
        <v>9</v>
      </c>
      <c r="D11" s="140" t="s">
        <v>12</v>
      </c>
      <c r="E11" s="140" t="s">
        <v>13</v>
      </c>
      <c r="F11" s="140" t="s">
        <v>14</v>
      </c>
      <c r="G11" s="141" t="s">
        <v>15</v>
      </c>
    </row>
    <row r="12" s="118" customFormat="1" ht="39.6" spans="2:7">
      <c r="B12" s="142" t="s">
        <v>16</v>
      </c>
      <c r="C12" s="143"/>
      <c r="D12" s="144"/>
      <c r="E12" s="144"/>
      <c r="F12" s="145"/>
      <c r="G12" s="146" t="s">
        <v>17</v>
      </c>
    </row>
    <row r="13" s="118" customFormat="1" ht="21.75" customHeight="1" spans="2:7">
      <c r="B13" s="147" t="s">
        <v>18</v>
      </c>
      <c r="C13" s="148"/>
      <c r="D13" s="149" t="s">
        <v>19</v>
      </c>
      <c r="E13" s="149"/>
      <c r="F13" s="149" t="s">
        <v>20</v>
      </c>
      <c r="G13" s="150"/>
    </row>
    <row r="14" s="118" customFormat="1" ht="19.5" customHeight="1" spans="2:7">
      <c r="B14" s="147" t="s">
        <v>21</v>
      </c>
      <c r="C14" s="148"/>
      <c r="D14" s="149" t="s">
        <v>22</v>
      </c>
      <c r="E14" s="149"/>
      <c r="F14" s="149" t="s">
        <v>23</v>
      </c>
      <c r="G14" s="150"/>
    </row>
    <row r="15" s="118" customFormat="1" ht="21.75" customHeight="1" spans="2:7">
      <c r="B15" s="151"/>
      <c r="C15" s="143"/>
      <c r="D15" s="144"/>
      <c r="E15" s="144"/>
      <c r="F15" s="144"/>
      <c r="G15" s="150"/>
    </row>
    <row r="16" s="118" customFormat="1" ht="19.5" customHeight="1" spans="2:7">
      <c r="B16" s="151"/>
      <c r="C16" s="143"/>
      <c r="D16" s="144"/>
      <c r="E16" s="144"/>
      <c r="F16" s="144"/>
      <c r="G16" s="150"/>
    </row>
    <row r="17" s="118" customFormat="1" ht="21.75" customHeight="1" spans="2:7">
      <c r="B17" s="151"/>
      <c r="C17" s="143"/>
      <c r="D17" s="144"/>
      <c r="E17" s="144"/>
      <c r="F17" s="144"/>
      <c r="G17" s="150"/>
    </row>
    <row r="18" s="118" customFormat="1" ht="19.5" customHeight="1" spans="2:7">
      <c r="B18" s="152"/>
      <c r="C18" s="153"/>
      <c r="D18" s="154"/>
      <c r="E18" s="154"/>
      <c r="F18" s="154"/>
      <c r="G18" s="155"/>
    </row>
  </sheetData>
  <mergeCells count="5">
    <mergeCell ref="B2:G2"/>
    <mergeCell ref="C4:E4"/>
    <mergeCell ref="C5:E5"/>
    <mergeCell ref="B6:B7"/>
    <mergeCell ref="C6:E7"/>
  </mergeCells>
  <pageMargins left="0.470138888888889" right="0.470138888888889" top="0.5" bottom="0.351388888888889" header="0.511805555555556" footer="0.170138888888889"/>
  <pageSetup paperSize="9" orientation="landscape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1"/>
  <sheetViews>
    <sheetView zoomScaleSheetLayoutView="60" workbookViewId="0">
      <selection activeCell="C13" sqref="C13"/>
    </sheetView>
  </sheetViews>
  <sheetFormatPr defaultColWidth="8.88888888888889" defaultRowHeight="13.2" outlineLevelCol="5"/>
  <cols>
    <col min="1" max="1" width="1.37962962962963" style="1" customWidth="1"/>
    <col min="2" max="2" width="11.75" style="89" customWidth="1"/>
    <col min="3" max="3" width="33.8888888888889" style="90" customWidth="1"/>
    <col min="4" max="4" width="17.1296296296296" style="90" customWidth="1"/>
    <col min="5" max="5" width="28.1296296296296" style="90" customWidth="1"/>
    <col min="6" max="6" width="30.6296296296296" style="90" customWidth="1"/>
    <col min="7" max="16384" width="9" style="1"/>
  </cols>
  <sheetData>
    <row r="1" ht="24.6" spans="2:5">
      <c r="B1" s="91"/>
      <c r="D1" s="92" t="s">
        <v>24</v>
      </c>
      <c r="E1" s="93"/>
    </row>
    <row r="2" ht="13.5" customHeight="1" spans="2:5">
      <c r="B2" s="91"/>
      <c r="D2" s="94"/>
      <c r="E2" s="94"/>
    </row>
    <row r="3" spans="2:6">
      <c r="B3" s="95" t="s">
        <v>1</v>
      </c>
      <c r="C3" s="95"/>
      <c r="D3" s="7" t="str">
        <f>Cover!C4</f>
        <v>Testing using Manual &amp; Automation for hdtoday</v>
      </c>
      <c r="E3" s="7"/>
      <c r="F3" s="7"/>
    </row>
    <row r="4" spans="2:6">
      <c r="B4" s="95" t="s">
        <v>4</v>
      </c>
      <c r="C4" s="95"/>
      <c r="D4" s="7" t="str">
        <f>Cover!C5</f>
        <v>&lt;Project Code&gt;</v>
      </c>
      <c r="E4" s="7"/>
      <c r="F4" s="7"/>
    </row>
    <row r="5" s="45" customFormat="1" ht="84.75" customHeight="1" spans="2:6">
      <c r="B5" s="96" t="s">
        <v>25</v>
      </c>
      <c r="C5" s="96"/>
      <c r="D5" s="97" t="s">
        <v>26</v>
      </c>
      <c r="E5" s="97"/>
      <c r="F5" s="97"/>
    </row>
    <row r="6" spans="2:6">
      <c r="B6" s="98"/>
      <c r="C6" s="99"/>
      <c r="D6" s="99"/>
      <c r="E6" s="99"/>
      <c r="F6" s="99"/>
    </row>
    <row r="7" s="87" customFormat="1" spans="2:6">
      <c r="B7" s="100"/>
      <c r="C7" s="101"/>
      <c r="D7" s="101"/>
      <c r="E7" s="101"/>
      <c r="F7" s="101"/>
    </row>
    <row r="8" s="88" customFormat="1" ht="21" customHeight="1" spans="2:6">
      <c r="B8" s="102" t="s">
        <v>27</v>
      </c>
      <c r="C8" s="103" t="s">
        <v>28</v>
      </c>
      <c r="D8" s="103" t="s">
        <v>29</v>
      </c>
      <c r="E8" s="104" t="s">
        <v>30</v>
      </c>
      <c r="F8" s="105" t="s">
        <v>31</v>
      </c>
    </row>
    <row r="9" spans="2:6">
      <c r="B9" s="106">
        <v>6</v>
      </c>
      <c r="C9" s="107" t="s">
        <v>32</v>
      </c>
      <c r="D9" s="108" t="s">
        <v>33</v>
      </c>
      <c r="E9" s="109"/>
      <c r="F9" s="110"/>
    </row>
    <row r="10" spans="2:6">
      <c r="B10" s="106">
        <v>12</v>
      </c>
      <c r="C10" s="107" t="s">
        <v>34</v>
      </c>
      <c r="D10" s="108" t="s">
        <v>35</v>
      </c>
      <c r="E10" s="109"/>
      <c r="F10" s="110"/>
    </row>
    <row r="11" spans="2:6">
      <c r="B11" s="106"/>
      <c r="C11" s="107"/>
      <c r="D11" s="108"/>
      <c r="E11" s="109"/>
      <c r="F11" s="110"/>
    </row>
    <row r="12" spans="2:6">
      <c r="B12" s="106"/>
      <c r="C12" s="107"/>
      <c r="D12" s="108"/>
      <c r="E12" s="109"/>
      <c r="F12" s="110"/>
    </row>
    <row r="13" spans="2:6">
      <c r="B13" s="106"/>
      <c r="C13" s="107"/>
      <c r="D13" s="109"/>
      <c r="E13" s="109"/>
      <c r="F13" s="110"/>
    </row>
    <row r="14" spans="2:6">
      <c r="B14" s="106"/>
      <c r="C14" s="107"/>
      <c r="D14" s="111"/>
      <c r="E14" s="111"/>
      <c r="F14" s="110"/>
    </row>
    <row r="15" spans="2:6">
      <c r="B15" s="106"/>
      <c r="C15" s="107"/>
      <c r="D15" s="111"/>
      <c r="E15" s="111"/>
      <c r="F15" s="110"/>
    </row>
    <row r="16" spans="2:6">
      <c r="B16" s="106"/>
      <c r="C16" s="107"/>
      <c r="D16" s="111"/>
      <c r="E16" s="111"/>
      <c r="F16" s="110"/>
    </row>
    <row r="17" spans="2:6">
      <c r="B17" s="106"/>
      <c r="C17" s="107"/>
      <c r="D17" s="111"/>
      <c r="E17" s="111"/>
      <c r="F17" s="110"/>
    </row>
    <row r="18" spans="2:6">
      <c r="B18" s="106"/>
      <c r="C18" s="107"/>
      <c r="D18" s="111"/>
      <c r="E18" s="111"/>
      <c r="F18" s="110"/>
    </row>
    <row r="19" spans="2:6">
      <c r="B19" s="106"/>
      <c r="C19" s="107"/>
      <c r="D19" s="111"/>
      <c r="E19" s="111"/>
      <c r="F19" s="110"/>
    </row>
    <row r="20" spans="2:6">
      <c r="B20" s="106"/>
      <c r="C20" s="107"/>
      <c r="D20" s="111"/>
      <c r="E20" s="111"/>
      <c r="F20" s="110"/>
    </row>
    <row r="21" spans="2:6">
      <c r="B21" s="112"/>
      <c r="C21" s="113"/>
      <c r="D21" s="114"/>
      <c r="E21" s="114"/>
      <c r="F21" s="115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Module6!A1" display="Module6"/>
    <hyperlink ref="D10" location="Module12!A1" display="Module12"/>
  </hyperlinks>
  <pageMargins left="0.747916666666667" right="0.747916666666667" top="0.984027777777778" bottom="1.15069444444444" header="0.511805555555556" footer="0.984027777777778"/>
  <pageSetup paperSize="9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view="pageBreakPreview" zoomScaleNormal="100" workbookViewId="0">
      <selection activeCell="C22" sqref="C22"/>
    </sheetView>
  </sheetViews>
  <sheetFormatPr defaultColWidth="7.87962962962963" defaultRowHeight="13.8" outlineLevelCol="5"/>
  <cols>
    <col min="1" max="3" width="15.6296296296296" style="79" customWidth="1"/>
    <col min="4" max="4" width="52.5" style="80" customWidth="1"/>
    <col min="5" max="5" width="10.75" style="79" customWidth="1"/>
    <col min="6" max="6" width="27.5" style="80" customWidth="1"/>
    <col min="7" max="16384" width="7.87962962962963" style="81"/>
  </cols>
  <sheetData>
    <row r="1" s="78" customFormat="1" ht="26.4" spans="1:6">
      <c r="A1" t="s">
        <v>36</v>
      </c>
      <c r="B1" s="56" t="s">
        <v>37</v>
      </c>
      <c r="C1" s="56" t="s">
        <v>38</v>
      </c>
      <c r="D1" s="56" t="s">
        <v>39</v>
      </c>
      <c r="E1" s="56" t="s">
        <v>40</v>
      </c>
      <c r="F1" s="56" t="s">
        <v>41</v>
      </c>
    </row>
    <row r="2" ht="26.4" spans="1:6">
      <c r="A2" s="82" t="s">
        <v>42</v>
      </c>
      <c r="B2" s="82" t="s">
        <v>43</v>
      </c>
      <c r="C2" s="83" t="s">
        <v>36</v>
      </c>
      <c r="D2" s="84" t="s">
        <v>44</v>
      </c>
      <c r="E2" s="85" t="s">
        <v>45</v>
      </c>
      <c r="F2" s="84"/>
    </row>
    <row r="3" ht="26.4" spans="1:6">
      <c r="A3" s="86"/>
      <c r="B3" s="86"/>
      <c r="C3" s="83" t="s">
        <v>46</v>
      </c>
      <c r="D3" s="84" t="s">
        <v>47</v>
      </c>
      <c r="E3" s="85" t="s">
        <v>45</v>
      </c>
      <c r="F3" s="84"/>
    </row>
    <row r="4" ht="26.4" spans="1:6">
      <c r="A4" s="86"/>
      <c r="B4" s="86"/>
      <c r="C4" s="83" t="s">
        <v>48</v>
      </c>
      <c r="D4" s="84" t="s">
        <v>49</v>
      </c>
      <c r="E4" s="85" t="s">
        <v>45</v>
      </c>
      <c r="F4" s="84"/>
    </row>
    <row r="5" spans="1:6">
      <c r="A5" s="86"/>
      <c r="B5" s="83" t="s">
        <v>50</v>
      </c>
      <c r="C5" s="83" t="s">
        <v>51</v>
      </c>
      <c r="D5" s="83" t="s">
        <v>52</v>
      </c>
      <c r="E5" s="85" t="s">
        <v>53</v>
      </c>
      <c r="F5" s="84"/>
    </row>
    <row r="6" spans="1:6">
      <c r="A6" s="86"/>
      <c r="B6" s="83"/>
      <c r="C6" s="83"/>
      <c r="D6" s="83"/>
      <c r="E6" s="85"/>
      <c r="F6" s="84"/>
    </row>
    <row r="7" spans="1:6">
      <c r="A7" s="86" t="s">
        <v>54</v>
      </c>
      <c r="B7" s="86" t="s">
        <v>36</v>
      </c>
      <c r="C7" s="67" t="s">
        <v>55</v>
      </c>
      <c r="D7" s="67" t="s">
        <v>56</v>
      </c>
      <c r="E7" s="67" t="s">
        <v>45</v>
      </c>
      <c r="F7" s="84"/>
    </row>
    <row r="8" spans="1:6">
      <c r="A8" s="86"/>
      <c r="B8" s="86"/>
      <c r="C8" s="67" t="s">
        <v>57</v>
      </c>
      <c r="D8" s="67" t="s">
        <v>58</v>
      </c>
      <c r="E8" s="67" t="s">
        <v>45</v>
      </c>
      <c r="F8" s="84"/>
    </row>
    <row r="9" ht="26.4" spans="1:6">
      <c r="A9" s="86"/>
      <c r="B9" s="86"/>
      <c r="C9" s="67" t="s">
        <v>59</v>
      </c>
      <c r="D9" s="67" t="s">
        <v>60</v>
      </c>
      <c r="E9" s="67" t="s">
        <v>45</v>
      </c>
      <c r="F9" s="84"/>
    </row>
    <row r="10" spans="1:6">
      <c r="A10" s="86"/>
      <c r="B10" s="86"/>
      <c r="C10" s="67" t="s">
        <v>61</v>
      </c>
      <c r="D10" s="67" t="s">
        <v>62</v>
      </c>
      <c r="E10" s="67" t="s">
        <v>45</v>
      </c>
      <c r="F10" s="84"/>
    </row>
    <row r="11" spans="1:6">
      <c r="A11" s="86"/>
      <c r="B11" s="86"/>
      <c r="C11" s="67" t="s">
        <v>63</v>
      </c>
      <c r="D11" s="67" t="s">
        <v>64</v>
      </c>
      <c r="E11" s="67" t="s">
        <v>45</v>
      </c>
      <c r="F11" s="84"/>
    </row>
    <row r="12" spans="1:6">
      <c r="A12" s="86"/>
      <c r="B12" s="86" t="s">
        <v>65</v>
      </c>
      <c r="C12" s="67" t="s">
        <v>55</v>
      </c>
      <c r="D12" s="67" t="s">
        <v>66</v>
      </c>
      <c r="E12" s="67" t="s">
        <v>45</v>
      </c>
      <c r="F12" s="84"/>
    </row>
    <row r="13" spans="1:6">
      <c r="A13" s="86"/>
      <c r="B13" s="86"/>
      <c r="C13" s="67" t="s">
        <v>61</v>
      </c>
      <c r="D13" s="67" t="s">
        <v>67</v>
      </c>
      <c r="E13" s="67" t="s">
        <v>45</v>
      </c>
      <c r="F13" s="84"/>
    </row>
    <row r="14" spans="1:6">
      <c r="A14" s="86"/>
      <c r="B14" s="86"/>
      <c r="C14" s="67" t="s">
        <v>68</v>
      </c>
      <c r="D14" s="67" t="s">
        <v>69</v>
      </c>
      <c r="E14" s="67" t="s">
        <v>45</v>
      </c>
      <c r="F14" s="84"/>
    </row>
    <row r="15" spans="1:6">
      <c r="A15" s="86"/>
      <c r="B15" s="86"/>
      <c r="C15" s="67" t="s">
        <v>70</v>
      </c>
      <c r="D15" s="67" t="s">
        <v>71</v>
      </c>
      <c r="E15" s="67" t="s">
        <v>45</v>
      </c>
      <c r="F15" s="84"/>
    </row>
    <row r="16" spans="1:6">
      <c r="A16" s="86"/>
      <c r="B16" s="86"/>
      <c r="C16" s="67" t="s">
        <v>72</v>
      </c>
      <c r="D16" s="67" t="s">
        <v>73</v>
      </c>
      <c r="E16" s="67" t="s">
        <v>45</v>
      </c>
      <c r="F16" s="84"/>
    </row>
    <row r="17" ht="26.4" spans="1:6">
      <c r="A17" s="86"/>
      <c r="B17" s="86"/>
      <c r="C17" s="67" t="s">
        <v>74</v>
      </c>
      <c r="D17" s="67" t="s">
        <v>75</v>
      </c>
      <c r="E17" s="67" t="s">
        <v>45</v>
      </c>
      <c r="F17" s="67" t="s">
        <v>76</v>
      </c>
    </row>
  </sheetData>
  <autoFilter xmlns:etc="http://www.wps.cn/officeDocument/2017/etCustomData" ref="A1:F17" etc:filterBottomFollowUsedRange="0">
    <extLst/>
  </autoFilter>
  <mergeCells count="5">
    <mergeCell ref="A2:A6"/>
    <mergeCell ref="A7:A17"/>
    <mergeCell ref="B2:B4"/>
    <mergeCell ref="B7:B11"/>
    <mergeCell ref="B12:B17"/>
  </mergeCells>
  <pageMargins left="0.393700787401575" right="0.393700787401575" top="0.393700787401575" bottom="0.393700787401575" header="0.196850393700787" footer="0.196850393700787"/>
  <pageSetup paperSize="9" scale="93" orientation="landscape" horizontalDpi="600" verticalDpi="6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zoomScale="70" zoomScaleNormal="70" zoomScaleSheetLayoutView="60" workbookViewId="0">
      <pane ySplit="8" topLeftCell="A9" activePane="bottomLeft" state="frozen"/>
      <selection/>
      <selection pane="bottomLeft" activeCell="A11" sqref="A11"/>
    </sheetView>
  </sheetViews>
  <sheetFormatPr defaultColWidth="8.88888888888889" defaultRowHeight="13.2"/>
  <cols>
    <col min="1" max="1" width="17" style="1" customWidth="1"/>
    <col min="2" max="2" width="47.3333333333333" style="1" customWidth="1"/>
    <col min="3" max="3" width="25.6296296296296" style="1" customWidth="1"/>
    <col min="4" max="4" width="28.5" style="1" customWidth="1"/>
    <col min="5" max="5" width="16.8796296296296" style="1" customWidth="1"/>
    <col min="6" max="6" width="7.12962962962963" style="1" customWidth="1"/>
    <col min="7" max="7" width="9" style="39"/>
    <col min="8" max="8" width="17.6296296296296" style="1" customWidth="1"/>
    <col min="9" max="9" width="8.25" style="40" customWidth="1"/>
    <col min="10" max="10" width="8.88888888888889" style="1" hidden="1" customWidth="1"/>
    <col min="11" max="16384" width="9" style="1"/>
  </cols>
  <sheetData>
    <row r="1" s="37" customFormat="1" ht="13.95" spans="1:9">
      <c r="A1" s="41"/>
      <c r="B1" s="42"/>
      <c r="C1" s="42"/>
      <c r="D1" s="42"/>
      <c r="E1" s="42"/>
      <c r="F1" s="43"/>
      <c r="G1" s="44"/>
      <c r="H1" s="45"/>
      <c r="I1" s="70"/>
    </row>
    <row r="2" s="37" customFormat="1" ht="15" customHeight="1" spans="1:10">
      <c r="A2" s="46" t="s">
        <v>77</v>
      </c>
      <c r="B2" s="47" t="s">
        <v>78</v>
      </c>
      <c r="C2" s="47"/>
      <c r="D2" s="47"/>
      <c r="E2" s="47"/>
      <c r="F2" s="47"/>
      <c r="G2" s="47"/>
      <c r="H2" s="47"/>
      <c r="I2" s="70"/>
      <c r="J2" s="37" t="s">
        <v>79</v>
      </c>
    </row>
    <row r="3" s="37" customFormat="1" ht="25.5" customHeight="1" spans="1:10">
      <c r="A3" s="48" t="s">
        <v>80</v>
      </c>
      <c r="B3" s="47" t="s">
        <v>81</v>
      </c>
      <c r="C3" s="47"/>
      <c r="D3" s="47"/>
      <c r="E3" s="47"/>
      <c r="F3" s="47"/>
      <c r="G3" s="47"/>
      <c r="H3" s="47"/>
      <c r="I3" s="70"/>
      <c r="J3" s="37" t="s">
        <v>82</v>
      </c>
    </row>
    <row r="4" s="37" customFormat="1" ht="18" customHeight="1" spans="1:10">
      <c r="A4" s="46" t="s">
        <v>83</v>
      </c>
      <c r="B4" s="47"/>
      <c r="C4" s="47"/>
      <c r="D4" s="47"/>
      <c r="E4" s="47"/>
      <c r="F4" s="47"/>
      <c r="G4" s="47"/>
      <c r="H4" s="47"/>
      <c r="I4" s="70"/>
      <c r="J4" s="37" t="s">
        <v>84</v>
      </c>
    </row>
    <row r="5" s="37" customFormat="1" ht="19.5" customHeight="1" spans="1:10">
      <c r="A5" s="49" t="s">
        <v>79</v>
      </c>
      <c r="B5" s="50" t="s">
        <v>82</v>
      </c>
      <c r="C5" s="50" t="s">
        <v>85</v>
      </c>
      <c r="D5" s="50" t="s">
        <v>84</v>
      </c>
      <c r="E5" s="51" t="s">
        <v>86</v>
      </c>
      <c r="F5" s="50" t="s">
        <v>87</v>
      </c>
      <c r="G5" s="50"/>
      <c r="H5" s="50"/>
      <c r="I5" s="71"/>
      <c r="J5" s="37" t="s">
        <v>85</v>
      </c>
    </row>
    <row r="6" s="37" customFormat="1" ht="15" customHeight="1" spans="1:10">
      <c r="A6" s="52">
        <f>COUNTIF(F9:F993,"Passed")</f>
        <v>4</v>
      </c>
      <c r="B6" s="53">
        <f>COUNTIF(F9:F993,"Failed")</f>
        <v>1</v>
      </c>
      <c r="C6" s="53">
        <f>F6-E6-D6-B6-A6</f>
        <v>0</v>
      </c>
      <c r="D6" s="53">
        <f>COUNTIF(F$9:F$993,"Blocked")</f>
        <v>0</v>
      </c>
      <c r="E6" s="54">
        <f>COUNTIF(F$9:F$993,"Skipped")</f>
        <v>0</v>
      </c>
      <c r="F6" s="55">
        <f>COUNTA(A9:A993)</f>
        <v>5</v>
      </c>
      <c r="G6" s="55"/>
      <c r="H6" s="55"/>
      <c r="I6" s="71"/>
      <c r="J6" s="37" t="s">
        <v>86</v>
      </c>
    </row>
    <row r="7" s="37" customFormat="1" ht="15" customHeight="1" spans="4:9">
      <c r="D7" s="36"/>
      <c r="E7" s="36"/>
      <c r="F7" s="76"/>
      <c r="G7" s="76"/>
      <c r="H7" s="76"/>
      <c r="I7" s="71"/>
    </row>
    <row r="8" s="37" customFormat="1" ht="25.5" customHeight="1" spans="1:9">
      <c r="A8" s="56" t="s">
        <v>88</v>
      </c>
      <c r="B8" s="56" t="s">
        <v>89</v>
      </c>
      <c r="C8" s="56" t="s">
        <v>90</v>
      </c>
      <c r="D8" s="56" t="s">
        <v>91</v>
      </c>
      <c r="E8" s="57" t="s">
        <v>92</v>
      </c>
      <c r="F8" s="57" t="s">
        <v>93</v>
      </c>
      <c r="G8" s="57" t="s">
        <v>94</v>
      </c>
      <c r="H8" s="56" t="s">
        <v>41</v>
      </c>
      <c r="I8" s="72"/>
    </row>
    <row r="9" s="37" customFormat="1" ht="15.75" customHeight="1" spans="1:9">
      <c r="A9" s="58"/>
      <c r="B9" s="58" t="s">
        <v>95</v>
      </c>
      <c r="C9" s="59"/>
      <c r="D9" s="59"/>
      <c r="E9" s="59"/>
      <c r="F9" s="59"/>
      <c r="G9" s="59"/>
      <c r="H9" s="60"/>
      <c r="I9" s="73"/>
    </row>
    <row r="10" s="38" customFormat="1" ht="120.95" customHeight="1" spans="1:9">
      <c r="A10" s="61" t="str">
        <f>IF(OR(B10&lt;&gt;"",D10&lt;&gt;""),"["&amp;TEXT($B$2,"##")&amp;"-"&amp;TEXT(ROW()-9,"##")&amp;"]","")</f>
        <v>[Module6-1]</v>
      </c>
      <c r="B10" s="61" t="s">
        <v>96</v>
      </c>
      <c r="C10" s="61" t="s">
        <v>97</v>
      </c>
      <c r="D10" s="156" t="s">
        <v>98</v>
      </c>
      <c r="E10" s="64" t="s">
        <v>99</v>
      </c>
      <c r="F10" s="61" t="s">
        <v>79</v>
      </c>
      <c r="G10" s="61"/>
      <c r="H10" s="77"/>
      <c r="I10" s="74"/>
    </row>
    <row r="11" ht="66" spans="1:9">
      <c r="A11" s="61" t="str">
        <f>IF(OR(B11&lt;&gt;"",D11&lt;&gt;""),"["&amp;TEXT($B$2,"##")&amp;"-"&amp;TEXT(ROW()-9,"##")&amp;"]","")</f>
        <v>[Module6-2]</v>
      </c>
      <c r="B11" s="61" t="s">
        <v>100</v>
      </c>
      <c r="C11" s="61" t="s">
        <v>101</v>
      </c>
      <c r="D11" s="64" t="s">
        <v>102</v>
      </c>
      <c r="E11" s="64" t="s">
        <v>99</v>
      </c>
      <c r="F11" s="61" t="s">
        <v>79</v>
      </c>
      <c r="G11" s="61"/>
      <c r="H11" s="77"/>
      <c r="I11" s="74"/>
    </row>
    <row r="12" ht="66" spans="1:9">
      <c r="A12" s="61" t="str">
        <f>IF(OR(B12&lt;&gt;"",D12&lt;&gt;""),"["&amp;TEXT($B$2,"##")&amp;"-"&amp;TEXT(ROW()-9,"##")&amp;"]","")</f>
        <v>[Module6-3]</v>
      </c>
      <c r="B12" s="61" t="s">
        <v>103</v>
      </c>
      <c r="C12" s="61" t="s">
        <v>104</v>
      </c>
      <c r="D12" s="61" t="s">
        <v>105</v>
      </c>
      <c r="E12" s="64" t="s">
        <v>99</v>
      </c>
      <c r="F12" s="61" t="s">
        <v>79</v>
      </c>
      <c r="G12" s="61"/>
      <c r="H12" s="77"/>
      <c r="I12" s="74"/>
    </row>
    <row r="13" s="37" customFormat="1" ht="52.8" spans="1:9">
      <c r="A13" s="61" t="str">
        <f>IF(OR(B13&lt;&gt;"",D13&lt;&gt;""),"["&amp;TEXT($B$2,"##")&amp;"-"&amp;TEXT(ROW()-9,"##")&amp;"]","")</f>
        <v>[Module6-4]</v>
      </c>
      <c r="B13" s="61" t="s">
        <v>106</v>
      </c>
      <c r="C13" s="61" t="s">
        <v>107</v>
      </c>
      <c r="D13" s="61" t="s">
        <v>108</v>
      </c>
      <c r="E13" s="64" t="s">
        <v>99</v>
      </c>
      <c r="F13" s="61" t="s">
        <v>82</v>
      </c>
      <c r="G13" s="65"/>
      <c r="H13" s="66"/>
      <c r="I13" s="73"/>
    </row>
    <row r="14" ht="79.2" spans="1:9">
      <c r="A14" s="61" t="str">
        <f>IF(OR(B14&lt;&gt;"",D14&lt;&gt;""),"["&amp;TEXT($B$2,"##")&amp;"-"&amp;TEXT(ROW()-9,"##")&amp;"]","")</f>
        <v>[Module6-5]</v>
      </c>
      <c r="B14" s="61" t="s">
        <v>109</v>
      </c>
      <c r="C14" s="61" t="s">
        <v>110</v>
      </c>
      <c r="D14" s="61" t="s">
        <v>111</v>
      </c>
      <c r="E14" s="61" t="s">
        <v>99</v>
      </c>
      <c r="F14" s="61" t="s">
        <v>79</v>
      </c>
      <c r="G14" s="61"/>
      <c r="H14" s="77"/>
      <c r="I14" s="74"/>
    </row>
    <row r="15" spans="9:9">
      <c r="I15" s="75"/>
    </row>
    <row r="16" s="37" customFormat="1" ht="15.75" customHeight="1" spans="1:9">
      <c r="A16" s="1"/>
      <c r="B16" s="1"/>
      <c r="C16" s="1"/>
      <c r="D16" s="1"/>
      <c r="E16" s="1"/>
      <c r="F16" s="1"/>
      <c r="G16" s="39"/>
      <c r="H16" s="1"/>
      <c r="I16" s="73"/>
    </row>
    <row r="17" spans="9:9">
      <c r="I17" s="74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42">
      <formula1>$J$2:$J$6</formula1>
    </dataValidation>
  </dataValidations>
  <pageMargins left="0.747916666666667" right="0.25" top="0.75" bottom="0.984027777777778" header="0.5" footer="0.5"/>
  <pageSetup paperSize="9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zoomScale="70" zoomScaleNormal="70" zoomScaleSheetLayoutView="60" workbookViewId="0">
      <pane ySplit="8" topLeftCell="A14" activePane="bottomLeft" state="frozen"/>
      <selection/>
      <selection pane="bottomLeft" activeCell="D28" sqref="D28"/>
    </sheetView>
  </sheetViews>
  <sheetFormatPr defaultColWidth="8.88888888888889" defaultRowHeight="13.2"/>
  <cols>
    <col min="1" max="1" width="17" style="1" customWidth="1"/>
    <col min="2" max="2" width="19.1296296296296" style="1" customWidth="1"/>
    <col min="3" max="3" width="25.6296296296296" style="1" customWidth="1"/>
    <col min="4" max="4" width="30.1296296296296" style="1" customWidth="1"/>
    <col min="5" max="5" width="16.8796296296296" style="1" customWidth="1"/>
    <col min="6" max="6" width="7.12962962962963" style="1" customWidth="1"/>
    <col min="7" max="7" width="9" style="39"/>
    <col min="8" max="8" width="17.6296296296296" style="1" customWidth="1"/>
    <col min="9" max="9" width="8.25" style="40" customWidth="1"/>
    <col min="10" max="10" width="8.88888888888889" style="1" hidden="1" customWidth="1"/>
    <col min="11" max="16384" width="9" style="1"/>
  </cols>
  <sheetData>
    <row r="1" s="37" customFormat="1" ht="13.95" spans="1:9">
      <c r="A1" s="41"/>
      <c r="B1" s="42"/>
      <c r="C1" s="42"/>
      <c r="D1" s="42"/>
      <c r="E1" s="42"/>
      <c r="F1" s="43"/>
      <c r="G1" s="44"/>
      <c r="H1" s="45"/>
      <c r="I1" s="70"/>
    </row>
    <row r="2" s="37" customFormat="1" ht="15" customHeight="1" spans="1:10">
      <c r="A2" s="46" t="s">
        <v>77</v>
      </c>
      <c r="B2" s="47" t="s">
        <v>35</v>
      </c>
      <c r="C2" s="47"/>
      <c r="D2" s="47"/>
      <c r="E2" s="47"/>
      <c r="F2" s="47"/>
      <c r="G2" s="47"/>
      <c r="H2" s="47"/>
      <c r="I2" s="70"/>
      <c r="J2" s="37" t="s">
        <v>79</v>
      </c>
    </row>
    <row r="3" s="37" customFormat="1" ht="25.5" customHeight="1" spans="1:10">
      <c r="A3" s="48" t="s">
        <v>80</v>
      </c>
      <c r="B3" s="47" t="s">
        <v>81</v>
      </c>
      <c r="C3" s="47"/>
      <c r="D3" s="47"/>
      <c r="E3" s="47"/>
      <c r="F3" s="47"/>
      <c r="G3" s="47"/>
      <c r="H3" s="47"/>
      <c r="I3" s="70"/>
      <c r="J3" s="37" t="s">
        <v>82</v>
      </c>
    </row>
    <row r="4" s="37" customFormat="1" ht="18" customHeight="1" spans="1:10">
      <c r="A4" s="46" t="s">
        <v>83</v>
      </c>
      <c r="B4" s="47"/>
      <c r="C4" s="47"/>
      <c r="D4" s="47"/>
      <c r="E4" s="47"/>
      <c r="F4" s="47"/>
      <c r="G4" s="47"/>
      <c r="H4" s="47"/>
      <c r="I4" s="70"/>
      <c r="J4" s="37" t="s">
        <v>84</v>
      </c>
    </row>
    <row r="5" s="37" customFormat="1" ht="19.5" customHeight="1" spans="1:10">
      <c r="A5" s="49" t="s">
        <v>79</v>
      </c>
      <c r="B5" s="50" t="s">
        <v>82</v>
      </c>
      <c r="C5" s="50" t="s">
        <v>85</v>
      </c>
      <c r="D5" s="50" t="s">
        <v>84</v>
      </c>
      <c r="E5" s="51" t="s">
        <v>86</v>
      </c>
      <c r="F5" s="50" t="s">
        <v>87</v>
      </c>
      <c r="G5" s="50"/>
      <c r="H5" s="50"/>
      <c r="I5" s="71"/>
      <c r="J5" s="37" t="s">
        <v>85</v>
      </c>
    </row>
    <row r="6" s="37" customFormat="1" ht="15" customHeight="1" spans="1:10">
      <c r="A6" s="52">
        <f>COUNTIF(F9:F1004,"Passed")</f>
        <v>11</v>
      </c>
      <c r="B6" s="53">
        <f>COUNTIF(F9:F1004,"Failed")</f>
        <v>0</v>
      </c>
      <c r="C6" s="53">
        <f>F6-E6-D6-B6-A6</f>
        <v>0</v>
      </c>
      <c r="D6" s="53">
        <f>COUNTIF(F$9:F$1004,"Blocked")</f>
        <v>0</v>
      </c>
      <c r="E6" s="54">
        <f>COUNTIF(F$9:F$1004,"Skipped")</f>
        <v>0</v>
      </c>
      <c r="F6" s="55">
        <f>COUNTA(A9:A1004)</f>
        <v>11</v>
      </c>
      <c r="G6" s="55"/>
      <c r="H6" s="55"/>
      <c r="I6" s="71"/>
      <c r="J6" s="37" t="s">
        <v>86</v>
      </c>
    </row>
    <row r="7" s="37" customFormat="1" ht="15" customHeight="1" spans="4:9">
      <c r="D7" s="36"/>
      <c r="E7" s="36"/>
      <c r="F7" s="36"/>
      <c r="G7" s="36"/>
      <c r="H7" s="36"/>
      <c r="I7" s="71"/>
    </row>
    <row r="8" s="37" customFormat="1" ht="25.5" customHeight="1" spans="1:9">
      <c r="A8" s="56" t="s">
        <v>88</v>
      </c>
      <c r="B8" s="56" t="s">
        <v>89</v>
      </c>
      <c r="C8" s="56" t="s">
        <v>90</v>
      </c>
      <c r="D8" s="56" t="s">
        <v>91</v>
      </c>
      <c r="E8" s="57" t="s">
        <v>92</v>
      </c>
      <c r="F8" s="57" t="s">
        <v>93</v>
      </c>
      <c r="G8" s="57" t="s">
        <v>94</v>
      </c>
      <c r="H8" s="56" t="s">
        <v>41</v>
      </c>
      <c r="I8" s="72"/>
    </row>
    <row r="9" s="37" customFormat="1" ht="15.75" customHeight="1" spans="1:9">
      <c r="A9" s="58"/>
      <c r="B9" s="58" t="s">
        <v>112</v>
      </c>
      <c r="C9" s="59"/>
      <c r="D9" s="59"/>
      <c r="E9" s="59"/>
      <c r="F9" s="59"/>
      <c r="G9" s="59"/>
      <c r="H9" s="60"/>
      <c r="I9" s="73"/>
    </row>
    <row r="10" s="38" customFormat="1" ht="120.95" customHeight="1" spans="1:9">
      <c r="A10" s="61" t="str">
        <f>IF(OR(B10&lt;&gt;"",D10&lt;&gt;""),"["&amp;TEXT($B$2,"##")&amp;"-"&amp;TEXT(ROW()-9,"##")&amp;"]","")</f>
        <v>[Module12-1]</v>
      </c>
      <c r="B10" s="61" t="s">
        <v>113</v>
      </c>
      <c r="C10" s="61" t="s">
        <v>114</v>
      </c>
      <c r="D10" s="61" t="s">
        <v>115</v>
      </c>
      <c r="E10" s="61" t="s">
        <v>99</v>
      </c>
      <c r="F10" s="62" t="s">
        <v>79</v>
      </c>
      <c r="G10" s="61"/>
      <c r="H10" s="63"/>
      <c r="I10" s="74"/>
    </row>
    <row r="11" ht="39.6" spans="1:9">
      <c r="A11" s="61" t="str">
        <f>IF(OR(B11&lt;&gt;"",D11&lt;&gt;""),"["&amp;TEXT($B$2,"##")&amp;"-"&amp;TEXT(ROW()-9,"##")&amp;"]","")</f>
        <v>[Module12-2]</v>
      </c>
      <c r="B11" s="61" t="s">
        <v>116</v>
      </c>
      <c r="C11" s="61" t="s">
        <v>117</v>
      </c>
      <c r="D11" s="64" t="s">
        <v>118</v>
      </c>
      <c r="E11" s="61" t="s">
        <v>99</v>
      </c>
      <c r="F11" s="61" t="s">
        <v>79</v>
      </c>
      <c r="G11" s="61"/>
      <c r="H11" s="63"/>
      <c r="I11" s="74"/>
    </row>
    <row r="12" ht="39.6" spans="1:9">
      <c r="A12" s="61" t="str">
        <f>IF(OR(B12&lt;&gt;"",D12&lt;&gt;""),"["&amp;TEXT($B$2,"##")&amp;"-"&amp;TEXT(ROW()-9,"##")&amp;"]","")</f>
        <v>[Module12-3]</v>
      </c>
      <c r="B12" s="61" t="s">
        <v>119</v>
      </c>
      <c r="C12" s="61" t="s">
        <v>120</v>
      </c>
      <c r="D12" s="64" t="s">
        <v>121</v>
      </c>
      <c r="E12" s="61" t="s">
        <v>99</v>
      </c>
      <c r="F12" s="61" t="s">
        <v>79</v>
      </c>
      <c r="G12" s="61"/>
      <c r="H12" s="63"/>
      <c r="I12" s="74"/>
    </row>
    <row r="13" spans="1:9">
      <c r="A13" s="61" t="str">
        <f>IF(OR(B13&lt;&gt;"",D13&lt;&gt;""),"["&amp;TEXT($B$2,"##")&amp;"-"&amp;TEXT(ROW()-9,"##")&amp;"]","")</f>
        <v>[Module12-4]</v>
      </c>
      <c r="B13" s="61" t="s">
        <v>61</v>
      </c>
      <c r="C13" s="61" t="s">
        <v>122</v>
      </c>
      <c r="D13" s="64" t="s">
        <v>118</v>
      </c>
      <c r="E13" s="61" t="s">
        <v>99</v>
      </c>
      <c r="F13" s="61" t="s">
        <v>79</v>
      </c>
      <c r="G13" s="61"/>
      <c r="H13" s="63"/>
      <c r="I13" s="74"/>
    </row>
    <row r="14" ht="39.6" spans="1:9">
      <c r="A14" s="61" t="str">
        <f>IF(OR(B14&lt;&gt;"",D14&lt;&gt;""),"["&amp;TEXT($B$2,"##")&amp;"-"&amp;TEXT(ROW()-9,"##")&amp;"]","")</f>
        <v>[Module12-5]</v>
      </c>
      <c r="B14" s="61" t="s">
        <v>123</v>
      </c>
      <c r="C14" s="61" t="s">
        <v>124</v>
      </c>
      <c r="D14" s="64" t="s">
        <v>118</v>
      </c>
      <c r="E14" s="61" t="s">
        <v>99</v>
      </c>
      <c r="F14" s="61" t="s">
        <v>79</v>
      </c>
      <c r="G14" s="61"/>
      <c r="H14" s="63"/>
      <c r="I14" s="74"/>
    </row>
    <row r="15" s="37" customFormat="1" ht="15.75" customHeight="1" spans="1:9">
      <c r="A15" s="58"/>
      <c r="B15" s="58" t="s">
        <v>125</v>
      </c>
      <c r="C15" s="59"/>
      <c r="D15" s="59"/>
      <c r="E15" s="59"/>
      <c r="F15" s="59"/>
      <c r="G15" s="59"/>
      <c r="H15" s="60"/>
      <c r="I15" s="73"/>
    </row>
    <row r="16" ht="52.8" spans="1:9">
      <c r="A16" s="61" t="str">
        <f>IF(OR(B16&lt;&gt;"",D16&lt;&gt;""),"["&amp;TEXT($B$2,"##")&amp;"-"&amp;TEXT(ROW()-10,"##")&amp;"]","")</f>
        <v>[Module12-6]</v>
      </c>
      <c r="B16" s="61" t="s">
        <v>126</v>
      </c>
      <c r="C16" s="61" t="s">
        <v>127</v>
      </c>
      <c r="D16" s="61" t="s">
        <v>128</v>
      </c>
      <c r="E16" s="61" t="s">
        <v>99</v>
      </c>
      <c r="F16" s="61" t="s">
        <v>79</v>
      </c>
      <c r="G16" s="61"/>
      <c r="H16" s="63"/>
      <c r="I16" s="74"/>
    </row>
    <row r="17" spans="1:9">
      <c r="A17" s="61" t="str">
        <f>IF(OR(B17&lt;&gt;"",D17&lt;&gt;""),"["&amp;TEXT($B$2,"##")&amp;"-"&amp;TEXT(ROW()-10,"##")&amp;"]","")</f>
        <v>[Module12-7]</v>
      </c>
      <c r="B17" s="61" t="s">
        <v>61</v>
      </c>
      <c r="C17" s="61" t="s">
        <v>122</v>
      </c>
      <c r="D17" s="64" t="s">
        <v>118</v>
      </c>
      <c r="E17" s="61" t="s">
        <v>99</v>
      </c>
      <c r="F17" s="61" t="s">
        <v>79</v>
      </c>
      <c r="G17" s="65"/>
      <c r="H17" s="66"/>
      <c r="I17" s="75"/>
    </row>
    <row r="18" ht="39.6" spans="1:9">
      <c r="A18" s="61" t="str">
        <f>IF(OR(B18&lt;&gt;"",D18&lt;&gt;""),"["&amp;TEXT($B$2,"##")&amp;"-"&amp;TEXT(ROW()-10,"##")&amp;"]","")</f>
        <v>[Module12-8]</v>
      </c>
      <c r="B18" s="61" t="s">
        <v>129</v>
      </c>
      <c r="C18" s="61" t="s">
        <v>130</v>
      </c>
      <c r="D18" s="61" t="s">
        <v>131</v>
      </c>
      <c r="E18" s="61" t="s">
        <v>99</v>
      </c>
      <c r="F18" s="61" t="s">
        <v>79</v>
      </c>
      <c r="G18" s="65"/>
      <c r="H18" s="66"/>
      <c r="I18" s="75"/>
    </row>
    <row r="19" ht="39.6" spans="1:9">
      <c r="A19" s="61" t="str">
        <f>IF(OR(B19&lt;&gt;"",D19&lt;&gt;""),"["&amp;TEXT($B$2,"##")&amp;"-"&amp;TEXT(ROW()-10,"##")&amp;"]","")</f>
        <v>[Module12-9]</v>
      </c>
      <c r="B19" s="67" t="s">
        <v>132</v>
      </c>
      <c r="C19" s="61" t="s">
        <v>133</v>
      </c>
      <c r="D19" s="64" t="s">
        <v>134</v>
      </c>
      <c r="E19" s="61" t="s">
        <v>99</v>
      </c>
      <c r="F19" s="61" t="s">
        <v>79</v>
      </c>
      <c r="G19" s="65"/>
      <c r="H19" s="66"/>
      <c r="I19" s="75"/>
    </row>
    <row r="20" ht="39.6" spans="1:9">
      <c r="A20" s="61" t="str">
        <f>IF(OR(B20&lt;&gt;"",D20&lt;&gt;""),"["&amp;TEXT($B$2,"##")&amp;"-"&amp;TEXT(ROW()-10,"##")&amp;"]","")</f>
        <v>[Module12-10]</v>
      </c>
      <c r="B20" s="61" t="s">
        <v>135</v>
      </c>
      <c r="C20" s="61" t="s">
        <v>136</v>
      </c>
      <c r="D20" s="64" t="s">
        <v>137</v>
      </c>
      <c r="E20" s="61" t="s">
        <v>99</v>
      </c>
      <c r="F20" s="61" t="s">
        <v>79</v>
      </c>
      <c r="G20" s="65"/>
      <c r="H20" s="66"/>
      <c r="I20" s="75"/>
    </row>
    <row r="21" ht="39.6" spans="1:9">
      <c r="A21" s="61" t="str">
        <f>IF(OR(B21&lt;&gt;"",D21&lt;&gt;""),"["&amp;TEXT($B$2,"##")&amp;"-"&amp;TEXT(ROW()-10,"##")&amp;"]","")</f>
        <v>[Module12-11]</v>
      </c>
      <c r="B21" s="61" t="s">
        <v>138</v>
      </c>
      <c r="C21" s="61" t="s">
        <v>139</v>
      </c>
      <c r="D21" s="61" t="s">
        <v>140</v>
      </c>
      <c r="E21" s="61" t="s">
        <v>99</v>
      </c>
      <c r="F21" s="61" t="s">
        <v>79</v>
      </c>
      <c r="G21" s="65"/>
      <c r="H21" s="66"/>
      <c r="I21" s="75"/>
    </row>
    <row r="22" spans="9:9">
      <c r="I22" s="75"/>
    </row>
    <row r="23" spans="9:9">
      <c r="I23" s="75"/>
    </row>
    <row r="24" spans="6:11">
      <c r="F24" s="68"/>
      <c r="I24" s="73"/>
      <c r="J24" s="37"/>
      <c r="K24" s="37"/>
    </row>
    <row r="25" spans="6:9">
      <c r="F25" s="69"/>
      <c r="I25" s="74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21 F24:F152">
      <formula1>$J$2:$J$6</formula1>
    </dataValidation>
  </dataValidations>
  <pageMargins left="0.747916666666667" right="0.25" top="0.75" bottom="0.984027777777778" header="0.5" footer="0.5"/>
  <pageSetup paperSize="9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SheetLayoutView="60" workbookViewId="0">
      <selection activeCell="I21" sqref="I21"/>
    </sheetView>
  </sheetViews>
  <sheetFormatPr defaultColWidth="8.88888888888889" defaultRowHeight="13.2"/>
  <cols>
    <col min="1" max="1" width="9" style="1"/>
    <col min="2" max="2" width="13.5" style="1" customWidth="1"/>
    <col min="3" max="3" width="19.3796296296296" style="1" customWidth="1"/>
    <col min="4" max="7" width="9" style="1"/>
    <col min="8" max="8" width="9.25" style="1" customWidth="1"/>
    <col min="9" max="9" width="23.5" style="1" customWidth="1"/>
    <col min="10" max="16384" width="9" style="1"/>
  </cols>
  <sheetData>
    <row r="1" ht="25.5" customHeight="1" spans="2:8">
      <c r="B1" s="2" t="s">
        <v>141</v>
      </c>
      <c r="C1" s="2"/>
      <c r="D1" s="2"/>
      <c r="E1" s="2"/>
      <c r="F1" s="2"/>
      <c r="G1" s="2"/>
      <c r="H1" s="2"/>
    </row>
    <row r="2" ht="14.25" customHeight="1" spans="1:8">
      <c r="A2" s="3"/>
      <c r="B2" s="3"/>
      <c r="C2" s="4"/>
      <c r="D2" s="4"/>
      <c r="E2" s="4"/>
      <c r="F2" s="4"/>
      <c r="G2" s="4"/>
      <c r="H2" s="5"/>
    </row>
    <row r="3" ht="12" customHeight="1" spans="2:8">
      <c r="B3" s="6" t="s">
        <v>1</v>
      </c>
      <c r="C3" s="7" t="s">
        <v>142</v>
      </c>
      <c r="D3" s="7"/>
      <c r="E3" s="8" t="s">
        <v>3</v>
      </c>
      <c r="F3" s="8"/>
      <c r="G3" s="9"/>
      <c r="H3" s="10"/>
    </row>
    <row r="4" ht="12" customHeight="1" spans="2:8">
      <c r="B4" s="6" t="s">
        <v>4</v>
      </c>
      <c r="C4" s="7" t="s">
        <v>5</v>
      </c>
      <c r="D4" s="7"/>
      <c r="E4" s="8" t="s">
        <v>6</v>
      </c>
      <c r="F4" s="8"/>
      <c r="G4" s="9"/>
      <c r="H4" s="10"/>
    </row>
    <row r="5" ht="12" customHeight="1" spans="2:8">
      <c r="B5" s="11" t="s">
        <v>7</v>
      </c>
      <c r="C5" s="7" t="str">
        <f>C4&amp;"_"&amp;"Test Report"&amp;"_"&amp;"vx.x"</f>
        <v>&lt;Project Code&gt;_Test Report_vx.x</v>
      </c>
      <c r="D5" s="7"/>
      <c r="E5" s="8" t="s">
        <v>8</v>
      </c>
      <c r="F5" s="8"/>
      <c r="G5" s="9"/>
      <c r="H5" s="12" t="s">
        <v>143</v>
      </c>
    </row>
    <row r="6" ht="21.75" customHeight="1" spans="1:8">
      <c r="A6" s="3"/>
      <c r="B6" s="11" t="s">
        <v>144</v>
      </c>
      <c r="C6" s="13" t="s">
        <v>145</v>
      </c>
      <c r="D6" s="13"/>
      <c r="E6" s="13"/>
      <c r="F6" s="13"/>
      <c r="G6" s="13"/>
      <c r="H6" s="13"/>
    </row>
    <row r="7" ht="14.25" customHeight="1" spans="1:8">
      <c r="A7" s="3"/>
      <c r="B7" s="14"/>
      <c r="C7" s="15"/>
      <c r="D7" s="4"/>
      <c r="E7" s="4"/>
      <c r="F7" s="4"/>
      <c r="G7" s="4"/>
      <c r="H7" s="5"/>
    </row>
    <row r="8" spans="2:8">
      <c r="B8" s="14"/>
      <c r="C8" s="15"/>
      <c r="D8" s="4"/>
      <c r="E8" s="4"/>
      <c r="F8" s="4"/>
      <c r="G8" s="4"/>
      <c r="H8" s="5"/>
    </row>
    <row r="9" spans="1:9">
      <c r="A9" s="16"/>
      <c r="B9" s="17" t="s">
        <v>27</v>
      </c>
      <c r="C9" s="18" t="s">
        <v>146</v>
      </c>
      <c r="D9" s="19" t="s">
        <v>147</v>
      </c>
      <c r="E9" s="18" t="s">
        <v>148</v>
      </c>
      <c r="F9" s="18" t="s">
        <v>85</v>
      </c>
      <c r="G9" s="20" t="s">
        <v>84</v>
      </c>
      <c r="H9" s="21" t="s">
        <v>86</v>
      </c>
      <c r="I9" s="21" t="s">
        <v>149</v>
      </c>
    </row>
    <row r="10" spans="1:9">
      <c r="A10" s="22"/>
      <c r="B10" s="23">
        <v>1</v>
      </c>
      <c r="C10" s="24" t="str">
        <f>Module6!B2</f>
        <v>Module6</v>
      </c>
      <c r="D10" s="25">
        <f>Module6!A6</f>
        <v>4</v>
      </c>
      <c r="E10" s="25">
        <f>Module6!B6</f>
        <v>1</v>
      </c>
      <c r="F10" s="25">
        <f>Module6!C6</f>
        <v>0</v>
      </c>
      <c r="G10" s="25">
        <f>Module6!D6</f>
        <v>0</v>
      </c>
      <c r="H10" s="25">
        <f>Module6!E6</f>
        <v>0</v>
      </c>
      <c r="I10" s="25">
        <f>Module6!F6</f>
        <v>5</v>
      </c>
    </row>
    <row r="11" spans="1:9">
      <c r="A11" s="26"/>
      <c r="B11" s="23">
        <v>2</v>
      </c>
      <c r="C11" s="24" t="str">
        <f>Module12!B2</f>
        <v>Module12</v>
      </c>
      <c r="D11" s="25">
        <f>Module12!A6</f>
        <v>11</v>
      </c>
      <c r="E11" s="25">
        <f>Module12!B6</f>
        <v>0</v>
      </c>
      <c r="F11" s="25">
        <f>Module12!C6</f>
        <v>0</v>
      </c>
      <c r="G11" s="25">
        <f>Module12!D6</f>
        <v>0</v>
      </c>
      <c r="H11" s="25">
        <f>Module12!E6</f>
        <v>0</v>
      </c>
      <c r="I11" s="25">
        <f>Module12!F6</f>
        <v>11</v>
      </c>
    </row>
    <row r="12" spans="1:9">
      <c r="A12" s="26"/>
      <c r="B12" s="23"/>
      <c r="C12" s="24"/>
      <c r="D12" s="25"/>
      <c r="E12" s="25"/>
      <c r="F12" s="25"/>
      <c r="G12" s="25"/>
      <c r="H12" s="25"/>
      <c r="I12" s="25"/>
    </row>
    <row r="13" spans="1:9">
      <c r="A13" s="26"/>
      <c r="B13" s="27"/>
      <c r="C13" s="28" t="s">
        <v>150</v>
      </c>
      <c r="D13" s="29">
        <f t="shared" ref="D13:I13" si="0">SUM(D8:D12)</f>
        <v>15</v>
      </c>
      <c r="E13" s="29">
        <f t="shared" si="0"/>
        <v>1</v>
      </c>
      <c r="F13" s="29">
        <f t="shared" si="0"/>
        <v>0</v>
      </c>
      <c r="G13" s="29">
        <f t="shared" si="0"/>
        <v>0</v>
      </c>
      <c r="H13" s="30">
        <f t="shared" si="0"/>
        <v>0</v>
      </c>
      <c r="I13" s="30">
        <f t="shared" si="0"/>
        <v>16</v>
      </c>
    </row>
    <row r="14" spans="1:8">
      <c r="A14" s="16"/>
      <c r="B14" s="31"/>
      <c r="C14" s="16"/>
      <c r="D14" s="32"/>
      <c r="E14" s="33"/>
      <c r="F14" s="33"/>
      <c r="G14" s="33"/>
      <c r="H14" s="33"/>
    </row>
    <row r="15" spans="1:8">
      <c r="A15" s="16"/>
      <c r="B15" s="16"/>
      <c r="C15" s="34" t="s">
        <v>151</v>
      </c>
      <c r="D15" s="16"/>
      <c r="E15" s="35">
        <f>(D13+E13)*100/(I13-H13-G13)</f>
        <v>100</v>
      </c>
      <c r="F15" s="16" t="s">
        <v>152</v>
      </c>
      <c r="G15" s="16"/>
      <c r="H15" s="36"/>
    </row>
    <row r="16" spans="1:8">
      <c r="A16" s="16"/>
      <c r="B16" s="16"/>
      <c r="C16" s="34" t="s">
        <v>153</v>
      </c>
      <c r="D16" s="16"/>
      <c r="E16" s="35">
        <f>D13*100/(D13+E13)</f>
        <v>93.75</v>
      </c>
      <c r="F16" s="16" t="s">
        <v>152</v>
      </c>
      <c r="G16" s="16"/>
      <c r="H16" s="36"/>
    </row>
    <row r="17" spans="3:4">
      <c r="C17" s="16"/>
      <c r="D17" s="16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7" right="0.747916666666667" top="0.984027777777778" bottom="0.984027777777778" header="0.511805555555556" footer="0.5"/>
  <pageSetup paperSize="1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85ED280E-F51D-42B1-B363-4EC477D089ED}">
  <ds:schemaRefs/>
</ds:datastoreItem>
</file>

<file path=customXml/itemProps2.xml><?xml version="1.0" encoding="utf-8"?>
<ds:datastoreItem xmlns:ds="http://schemas.openxmlformats.org/officeDocument/2006/customXml" ds:itemID="{898618FE-843B-48E6-B1F2-2AB76D41F4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FSOFT</Company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Test case List</vt:lpstr>
      <vt:lpstr>TestDesign</vt:lpstr>
      <vt:lpstr>Module6</vt:lpstr>
      <vt:lpstr>Module12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description>Updates sheet Cover: Add logo, document code, creator, reviewer/approver.
Add sheet Test Case List.
Change Sheet Company, User, Provider to Modules. Add column Inter-test case dependent. Update these sheets.
Update Test Report
</dc:description>
  <cp:lastModifiedBy>Đức Hoàng Lê</cp:lastModifiedBy>
  <dcterms:created xsi:type="dcterms:W3CDTF">2014-07-14T08:56:24Z</dcterms:created>
  <cp:lastPrinted>2010-11-12T10:33:20Z</cp:lastPrinted>
  <dcterms:modified xsi:type="dcterms:W3CDTF">2025-11-15T14:26:11Z</dcterms:modified>
  <cp:category>BM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ICV">
    <vt:lpwstr>9C755B718E9444B28EAF860D9D45FCA4_13</vt:lpwstr>
  </property>
  <property fmtid="{D5CDD505-2E9C-101B-9397-08002B2CF9AE}" pid="11" name="KSOProductBuildVer">
    <vt:lpwstr>1033-12.2.0.23155</vt:lpwstr>
  </property>
</Properties>
</file>