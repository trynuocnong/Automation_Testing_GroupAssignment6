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ster\BT6\"/>
    </mc:Choice>
  </mc:AlternateContent>
  <xr:revisionPtr revIDLastSave="0" documentId="13_ncr:1_{0F186597-06C9-4D2E-887C-9C756F886ADD}" xr6:coauthVersionLast="47" xr6:coauthVersionMax="47" xr10:uidLastSave="{00000000-0000-0000-0000-000000000000}"/>
  <bookViews>
    <workbookView xWindow="-108" yWindow="-108" windowWidth="23256" windowHeight="12576" tabRatio="821" activeTab="5" xr2:uid="{C1429B64-4D61-4583-8FB4-33ED2FC2A825}"/>
  </bookViews>
  <sheets>
    <sheet name="Cover" sheetId="1" r:id="rId1"/>
    <sheet name="Test case List" sheetId="2" r:id="rId2"/>
    <sheet name="TestDesign" sheetId="6" r:id="rId3"/>
    <sheet name="S02_SearchFilter" sheetId="3" r:id="rId4"/>
    <sheet name="S11_GenreCategory" sheetId="7" r:id="rId5"/>
    <sheet name="Test Report" sheetId="5" r:id="rId6"/>
  </sheets>
  <definedNames>
    <definedName name="_xlnm._FilterDatabase" localSheetId="3" hidden="1">S02_SearchFilter!$A$8:$H$13</definedName>
    <definedName name="_xlnm._FilterDatabase" localSheetId="4" hidden="1">S11_GenreCategory!$A$8:$H$13</definedName>
    <definedName name="_xlnm._FilterDatabase" localSheetId="2" hidden="1">TestDesign!$A$1:$F$29</definedName>
    <definedName name="_Toc301930468" localSheetId="2">TestDesign!#REF!</definedName>
    <definedName name="_Toc301930478" localSheetId="2">TestDesign!#REF!</definedName>
    <definedName name="ACTION">#REF!</definedName>
    <definedName name="_xlnm.Print_Area" localSheetId="2">TestDesign!$A$1:$F$41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" l="1"/>
  <c r="D10" i="5" s="1"/>
  <c r="I11" i="5"/>
  <c r="C11" i="5"/>
  <c r="A15" i="7"/>
  <c r="A14" i="7"/>
  <c r="A13" i="7"/>
  <c r="A12" i="7"/>
  <c r="A11" i="7"/>
  <c r="A10" i="7"/>
  <c r="A9" i="7"/>
  <c r="E6" i="7"/>
  <c r="H11" i="5" s="1"/>
  <c r="D6" i="7"/>
  <c r="G11" i="5" s="1"/>
  <c r="B6" i="7"/>
  <c r="E11" i="5" s="1"/>
  <c r="A6" i="7"/>
  <c r="D11" i="5" s="1"/>
  <c r="A15" i="3"/>
  <c r="A14" i="3"/>
  <c r="A13" i="3"/>
  <c r="A12" i="3"/>
  <c r="A11" i="3"/>
  <c r="A10" i="3"/>
  <c r="C10" i="5"/>
  <c r="E6" i="3"/>
  <c r="H10" i="5" s="1"/>
  <c r="D6" i="3"/>
  <c r="G10" i="5" s="1"/>
  <c r="B6" i="3"/>
  <c r="E10" i="5" s="1"/>
  <c r="C6" i="1"/>
  <c r="A9" i="3"/>
  <c r="D3" i="2"/>
  <c r="D4" i="2"/>
  <c r="C5" i="5"/>
  <c r="F6" i="7" l="1"/>
  <c r="C6" i="7" s="1"/>
  <c r="F11" i="5" s="1"/>
  <c r="H13" i="5"/>
  <c r="D13" i="5"/>
  <c r="E13" i="5"/>
  <c r="G13" i="5"/>
  <c r="C6" i="3"/>
  <c r="F6" i="3"/>
  <c r="I10" i="5" s="1"/>
  <c r="I13" i="5" s="1"/>
  <c r="E16" i="5" l="1"/>
  <c r="E15" i="5"/>
  <c r="F10" i="5"/>
  <c r="F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6D877297-5AC4-452F-8292-5AB97BA07F56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Thi Lanh</author>
  </authors>
  <commentList>
    <comment ref="C1" authorId="0" shapeId="0" xr:uid="{C9CCEBD8-F086-456F-8761-67BF2C981A7C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It does not required to have 3 requirement levels. It depends on your decentralization.</t>
        </r>
      </text>
    </comment>
    <comment ref="D1" authorId="0" shapeId="0" xr:uid="{B8F8A35B-5C5A-4743-83AB-B8B8D06A566B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Brief description about the case you'll check</t>
        </r>
      </text>
    </comment>
    <comment ref="E1" authorId="0" shapeId="0" xr:uid="{DB8FFC35-5421-4A59-BF11-F60152000942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1477CC24-34C3-43E6-8425-F4EC04CFE2C1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9F675BF-45D8-4D3C-B84B-616C246A64A1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<sst xmlns="http://schemas.openxmlformats.org/spreadsheetml/2006/main" count="283" uniqueCount="172">
  <si>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</si>
  <si>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</si>
  <si>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</si>
  <si>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</si>
  <si>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</si>
  <si>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</si>
  <si>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</si>
  <si>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</si>
  <si>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</si>
  <si>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</si>
  <si>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</si>
  <si>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</si>
  <si>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</si>
  <si>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</si>
  <si>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</si>
  <si>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</si>
  <si>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</si>
  <si>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</si>
  <si>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</si>
  <si>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</si>
  <si>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</si>
  <si>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</si>
  <si>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</si>
  <si>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</si>
  <si>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</si>
  <si>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Module Code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</si>
  <si>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</si>
  <si>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</si>
  <si>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</si>
  <si>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</si>
  <si>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</si>
  <si>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</si>
  <si>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</si>
  <si>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</si>
  <si>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</si>
  <si>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</si>
  <si>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</si>
  <si>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</si>
  <si>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</si>
  <si>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</si>
  <si>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</si>
  <si>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 xml:space="preserve">&lt;List all test cases or conditions that must be done before performing this case&gt;
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</si>
  <si>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</si>
  <si>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</si>
  <si>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</si>
  <si>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</si>
  <si>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</si>
  <si>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</si>
  <si>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</si>
  <si>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</si>
  <si>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</si>
  <si>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</si>
  <si>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</si>
  <si>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Requirement Level 1</t>
  </si>
  <si>
    <t>Requirement Level 2</t>
  </si>
  <si>
    <t>Requirement Level 3</t>
  </si>
  <si>
    <t>Test Criteria</t>
  </si>
  <si>
    <t>Test Type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</si>
  <si>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</si>
  <si>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</si>
  <si>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</si>
  <si>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</si>
  <si>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</si>
  <si>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</si>
  <si>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</si>
  <si>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</si>
  <si>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</si>
  <si>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</si>
  <si>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</si>
  <si>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</si>
  <si>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</si>
  <si>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</si>
  <si>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</si>
  <si>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</si>
  <si>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Click [Log out] link</t>
  </si>
  <si>
    <t>GUI</t>
  </si>
  <si>
    <t>Check layout of Logon screen</t>
  </si>
  <si>
    <t>Check default value of controls in Logon screen</t>
  </si>
  <si>
    <t>Check Max length of fields in Logon screen</t>
  </si>
  <si>
    <t>Passed</t>
  </si>
  <si>
    <t>Failed</t>
  </si>
  <si>
    <t>Blocked</t>
  </si>
  <si>
    <t>Skipped</t>
  </si>
  <si>
    <t>Search &amp; Basic Filters</t>
  </si>
  <si>
    <t>Genre &amp; Category Pages</t>
  </si>
  <si>
    <t>S11_GenreCategory</t>
  </si>
  <si>
    <t>S02_SearchFilter</t>
  </si>
  <si>
    <t>S02 Search &amp; Filter</t>
  </si>
  <si>
    <t>Search</t>
  </si>
  <si>
    <t>Filter</t>
  </si>
  <si>
    <t>Check search with valid keyword “Avengers Endgame”</t>
  </si>
  <si>
    <t>Check search with non-exist keyword “XyzAbcNotExist12345”</t>
  </si>
  <si>
    <t>Special character</t>
  </si>
  <si>
    <t>Check search with special characters “@#$%^&amp;*()” hoặc malicious script</t>
  </si>
  <si>
    <t>Function / Security</t>
  </si>
  <si>
    <t>Genre</t>
  </si>
  <si>
    <t>Year</t>
  </si>
  <si>
    <t>Check filter movies by Genre = “Action”</t>
  </si>
  <si>
    <t>Check filter movies by Year = “2023”</t>
  </si>
  <si>
    <t>Search + Filter</t>
  </si>
  <si>
    <t>Multiple filters</t>
  </si>
  <si>
    <t>Check search “Spider” + Genre: Action + Year: 2022</t>
  </si>
  <si>
    <t>Click “Clear Filters / Reset” → all filters return to default</t>
  </si>
  <si>
    <t>Reset filters</t>
  </si>
  <si>
    <t>S11 Genre &amp; Category</t>
  </si>
  <si>
    <t>Genre Page</t>
  </si>
  <si>
    <t>Category</t>
  </si>
  <si>
    <t>Action</t>
  </si>
  <si>
    <t>Horror</t>
  </si>
  <si>
    <t>Filter by Year</t>
  </si>
  <si>
    <t>Filter by Country</t>
  </si>
  <si>
    <t>Top Rated</t>
  </si>
  <si>
    <t>Recently Added</t>
  </si>
  <si>
    <t>Empty result</t>
  </si>
  <si>
    <t>Navigate to /genre/action</t>
  </si>
  <si>
    <t>Navigate to /genre/horror</t>
  </si>
  <si>
    <t>Check Action movies filtered by Year = 2023</t>
  </si>
  <si>
    <t>Check movies filtered by Country = “South Korea”</t>
  </si>
  <si>
    <t>Navigate to /top-rated</t>
  </si>
  <si>
    <t>Navigate to /recently-added</t>
  </si>
  <si>
    <t>Check empty result with Genre Documentary + Year 1920</t>
  </si>
  <si>
    <t>Tìm kiếm với từ khóa hợp lệ "Avengers Endgame".</t>
  </si>
  <si>
    <t>Mở trang Movies/Search.
Nhập “Avengers Endgame” vào search box.
Nhấn Enter hoặc click Search button.</t>
  </si>
  <si>
    <t>Danh sách phim hiển thị chứa “Avengers Endgame”.
Số lượng kết quả &gt; 0.
Mỗi movie card hiển thị đúng tên, năm, poster.
URL có dạng: ?search=avengers+endgame.</t>
  </si>
  <si>
    <t>Tìm kiếm với từ khóa không tồn tại.</t>
  </si>
  <si>
    <t>Nhập “XyzAbcNotExist12345”.
Nhấn Search.</t>
  </si>
  <si>
    <t>Hiển thị “No results found”.
Không có movie card nào.
Gợi ý đổi từ khóa.</t>
  </si>
  <si>
    <t>S02-01 (đảm bảo chức năng Search hoạt động)</t>
  </si>
  <si>
    <t>Tìm kiếm với ký tự đặc biệt hoặc chuỗi SQL Injection.</t>
  </si>
  <si>
    <t>Nhập "@#$%^&amp;*()" hoặc "'; DROP TABLE movies; --".
Nhấn Search.</t>
  </si>
  <si>
    <t>Không crash.
Input được sanitize.
Không thực thi mã độc.
Hiển thị “No results”.</t>
  </si>
  <si>
    <t>S02-01 (kiểm tra baseline search)</t>
  </si>
  <si>
    <t>Lọc phim theo Genre = Action.</t>
  </si>
  <si>
    <t>Chọn Genre = Action.</t>
  </si>
  <si>
    <t>Chỉ hiển thị phim Action.
Filter UI hiển thị Action active.
URL chứa ?genre=action.</t>
  </si>
  <si>
    <t>Lọc phim theo năm 2023.</t>
  </si>
  <si>
    <t>Chọn Year = 2023.
Click Filter.</t>
  </si>
  <si>
    <t>Chỉ hiển thị phim năm 2023.
Mỗi card có year = 2023.</t>
  </si>
  <si>
    <t>Search “Spider” + Genre Action + Year 2022.</t>
  </si>
  <si>
    <t>Nhập search = “Spider”.
Select Genre = Action.
Select Year = 2022.
Apply filter.</t>
  </si>
  <si>
    <t>Kết quả phải match cả 3 điều kiện.
URL = ?search=spider&amp;genre=action&amp;year=2022.
Nếu không có kết quả → “No matches”.</t>
  </si>
  <si>
    <t>S02-01 (Search)
S02-04 (Filter Genre)
S02-05 (Filter Year)</t>
  </si>
  <si>
    <t>Reset toàn bộ filter.</t>
  </si>
  <si>
    <t>Bật nhiều filters.
Click “Clear Filters” hoặc “Reset”.</t>
  </si>
  <si>
    <t>Tất cả filter về default.
Hiển thị toàn bộ phim.
URL trở về /movies hoặc /search.</t>
  </si>
  <si>
    <t>S02-04 hoặc S02-05 hoặc S02-06</t>
  </si>
  <si>
    <t>Truy cập trang thể loại Action.</t>
  </si>
  <si>
    <t>Navigate đến URL: /genre/action.</t>
  </si>
  <si>
    <t>Page title hiển thị: "Action Movies".
Chỉ phim có genre “Action” được hiển thị.
Mỗi movie card có tag Action.</t>
  </si>
  <si>
    <t>Truy cập trang thể loại Horror.</t>
  </si>
  <si>
    <t>Navigate đến URL: /genre/horror.</t>
  </si>
  <si>
    <t>Title: "Horror Movies".
Chỉ hiển thị phim Horror.
Giao diện theme tối hoạt động đúng.</t>
  </si>
  <si>
    <t>S11-01 (baseline Genre page behavior)</t>
  </si>
  <si>
    <t>Filter Year trong trang /genre/action.</t>
  </si>
  <si>
    <t>Mở /genre/action.
Chọn Year = 2023.
Click Apply.</t>
  </si>
  <si>
    <t>Kết quả là các phim Action của năm 2023.
URL: /genre/action?year=2023.</t>
  </si>
  <si>
    <t>S11-01 (Genre Action loaded)</t>
  </si>
  <si>
    <t>Lọc theo quốc gia “South Korea”.</t>
  </si>
  <si>
    <t>Trên trang Genre (Action), chọn Country = South Korea.
Click Apply.</t>
  </si>
  <si>
    <t>Chỉ hiển thị Action movies của Hàn Quốc.
Movie cards có flag icon 🇰🇷.</t>
  </si>
  <si>
    <t>S11-01 (Genre Action)
S11-03 (Filter structure)</t>
  </si>
  <si>
    <t>Kiểm tra trang Top Rated.</t>
  </si>
  <si>
    <t>Navigate đến /top-rated.</t>
  </si>
  <si>
    <t>Phim được sắp xếp từ rating cao → thấp.
Mỗi card có badge “⭐ Top Rated”.</t>
  </si>
  <si>
    <t>Kiểm tra trang Recently Added.</t>
  </si>
  <si>
    <t>Navigate đến /recently-added.</t>
  </si>
  <si>
    <t>Phim mới được thêm hiển thị đầu tiên theo thứ tự thời gian.
Badge “NEW” hiển thị trên movie card.</t>
  </si>
  <si>
    <t>Thử filter trả về 0 kết quả.</t>
  </si>
  <si>
    <t>Apply Genre = Documentary.
Apply Year = 1920.</t>
  </si>
  <si>
    <t>Hiển thị thông báo: “No movies found”.
Suggestion link: “Browse all movies”.</t>
  </si>
  <si>
    <t>S11-01 hoặc S11-02 (load genre page),
Filter logic từ S11-03.</t>
  </si>
  <si>
    <t>S02_SearchFilter!A1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</si>
</sst>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9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8"/>
      <name val="Tahoma"/>
      <family val="2"/>
    </font>
    <font>
      <b/>
      <sz val="8"/>
      <color indexed="8"/>
      <name val="Times New Roman"/>
      <family val="1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charset val="128"/>
    </font>
    <font>
      <sz val="8"/>
      <color indexed="81"/>
      <name val="Tahoma"/>
    </font>
    <font>
      <b/>
      <sz val="8"/>
      <color indexed="81"/>
      <name val="Tahoma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Calibri"/>
      <family val="3"/>
      <charset val="128"/>
      <scheme val="minor"/>
    </font>
    <font>
      <sz val="10"/>
      <color theme="1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</fills>
  <borders count="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4" fillId="0" borderId="0" applyNumberFormat="0" applyFill="0" applyBorder="0" applyAlignment="0" applyProtection="0"/>
    <xf numFmtId="0" fontId="22" fillId="0" borderId="0"/>
    <xf numFmtId="0" fontId="23" fillId="0" borderId="0"/>
    <xf numFmtId="0" fontId="19" fillId="0" borderId="0"/>
    <xf numFmtId="0" fontId="19" fillId="0" borderId="0"/>
    <xf numFmtId="0" fontId="1" fillId="0" borderId="0"/>
  </cellStyleXfs>
  <cellXfs count="1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indent="1"/>
    </xf>
    <xf numFmtId="0" fontId="6" fillId="0" borderId="0" xfId="0" applyFont="1" applyAlignment="1">
      <alignment horizontal="left" indent="1"/>
    </xf>
    <xf numFmtId="0" fontId="2" fillId="2" borderId="0" xfId="0" applyFont="1" applyFill="1"/>
    <xf numFmtId="0" fontId="5" fillId="2" borderId="1" xfId="0" applyFont="1" applyFill="1" applyBorder="1" applyAlignment="1">
      <alignment horizontal="left"/>
    </xf>
    <xf numFmtId="0" fontId="2" fillId="0" borderId="2" xfId="0" applyFont="1" applyBorder="1"/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indent="1"/>
    </xf>
    <xf numFmtId="0" fontId="5" fillId="2" borderId="0" xfId="0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6" fillId="0" borderId="6" xfId="0" applyFont="1" applyBorder="1" applyAlignment="1">
      <alignment vertical="top" wrapText="1"/>
    </xf>
    <xf numFmtId="49" fontId="2" fillId="0" borderId="7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15" fontId="2" fillId="0" borderId="7" xfId="0" applyNumberFormat="1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164" fontId="2" fillId="0" borderId="6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3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5" fillId="2" borderId="13" xfId="0" applyFont="1" applyFill="1" applyBorder="1"/>
    <xf numFmtId="0" fontId="15" fillId="2" borderId="13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12" fillId="2" borderId="0" xfId="0" applyFont="1" applyFill="1" applyAlignment="1">
      <alignment wrapText="1"/>
    </xf>
    <xf numFmtId="0" fontId="15" fillId="2" borderId="0" xfId="0" applyFont="1" applyFill="1"/>
    <xf numFmtId="0" fontId="2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7" fillId="3" borderId="1" xfId="5" applyFont="1" applyFill="1" applyBorder="1" applyAlignment="1">
      <alignment horizontal="center" vertical="center" wrapText="1"/>
    </xf>
    <xf numFmtId="0" fontId="7" fillId="3" borderId="14" xfId="5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5" fillId="2" borderId="0" xfId="0" applyFont="1" applyFill="1" applyAlignment="1">
      <alignment vertical="top"/>
    </xf>
    <xf numFmtId="0" fontId="1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5" fillId="2" borderId="17" xfId="0" applyFont="1" applyFill="1" applyBorder="1" applyAlignment="1">
      <alignment horizontal="center" vertical="center"/>
    </xf>
    <xf numFmtId="0" fontId="12" fillId="2" borderId="0" xfId="4" applyFont="1" applyFill="1"/>
    <xf numFmtId="0" fontId="2" fillId="2" borderId="0" xfId="4" applyFont="1" applyFill="1"/>
    <xf numFmtId="164" fontId="2" fillId="2" borderId="0" xfId="4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0" xfId="4" applyFont="1" applyFill="1"/>
    <xf numFmtId="0" fontId="2" fillId="2" borderId="18" xfId="0" applyFont="1" applyFill="1" applyBorder="1"/>
    <xf numFmtId="0" fontId="7" fillId="3" borderId="19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7" fillId="3" borderId="24" xfId="0" applyFont="1" applyFill="1" applyBorder="1" applyAlignment="1">
      <alignment horizontal="center"/>
    </xf>
    <xf numFmtId="0" fontId="7" fillId="3" borderId="10" xfId="0" applyFont="1" applyFill="1" applyBorder="1"/>
    <xf numFmtId="0" fontId="17" fillId="3" borderId="10" xfId="0" applyFont="1" applyFill="1" applyBorder="1" applyAlignment="1">
      <alignment horizontal="center"/>
    </xf>
    <xf numFmtId="0" fontId="17" fillId="3" borderId="2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8" fillId="2" borderId="0" xfId="0" applyNumberFormat="1" applyFont="1" applyFill="1" applyAlignment="1">
      <alignment horizontal="right" wrapText="1"/>
    </xf>
    <xf numFmtId="0" fontId="24" fillId="0" borderId="0" xfId="3" applyFont="1" applyAlignment="1">
      <alignment horizontal="center" vertical="center"/>
    </xf>
    <xf numFmtId="0" fontId="25" fillId="0" borderId="26" xfId="3" applyFont="1" applyBorder="1" applyAlignment="1">
      <alignment vertical="center" wrapText="1"/>
    </xf>
    <xf numFmtId="0" fontId="25" fillId="0" borderId="26" xfId="3" applyFont="1" applyBorder="1" applyAlignment="1">
      <alignment horizontal="left" vertical="center" wrapText="1"/>
    </xf>
    <xf numFmtId="0" fontId="26" fillId="0" borderId="0" xfId="3" applyFont="1" applyAlignment="1">
      <alignment vertical="center"/>
    </xf>
    <xf numFmtId="0" fontId="26" fillId="0" borderId="0" xfId="3" applyFont="1" applyAlignment="1">
      <alignment horizontal="left" vertical="center" wrapText="1"/>
    </xf>
    <xf numFmtId="0" fontId="26" fillId="0" borderId="0" xfId="3" applyFont="1" applyAlignment="1">
      <alignment vertical="center" wrapText="1"/>
    </xf>
    <xf numFmtId="0" fontId="12" fillId="2" borderId="27" xfId="5" applyFont="1" applyFill="1" applyBorder="1" applyAlignment="1">
      <alignment horizontal="left" wrapText="1"/>
    </xf>
    <xf numFmtId="0" fontId="12" fillId="2" borderId="28" xfId="5" applyFont="1" applyFill="1" applyBorder="1" applyAlignment="1">
      <alignment horizontal="left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vertical="center" wrapText="1"/>
    </xf>
    <xf numFmtId="0" fontId="15" fillId="2" borderId="29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vertical="center" wrapText="1"/>
    </xf>
    <xf numFmtId="0" fontId="27" fillId="2" borderId="1" xfId="5" applyFont="1" applyFill="1" applyBorder="1" applyAlignment="1">
      <alignment vertical="top" wrapText="1"/>
    </xf>
    <xf numFmtId="0" fontId="25" fillId="0" borderId="34" xfId="3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6" fillId="0" borderId="0" xfId="3" applyFont="1" applyAlignment="1">
      <alignment horizontal="center" vertical="center"/>
    </xf>
    <xf numFmtId="0" fontId="2" fillId="2" borderId="36" xfId="0" applyFont="1" applyFill="1" applyBorder="1"/>
    <xf numFmtId="0" fontId="2" fillId="2" borderId="38" xfId="0" applyFont="1" applyFill="1" applyBorder="1"/>
    <xf numFmtId="0" fontId="2" fillId="2" borderId="36" xfId="0" applyFont="1" applyFill="1" applyBorder="1" applyAlignment="1">
      <alignment vertical="top" wrapText="1"/>
    </xf>
    <xf numFmtId="0" fontId="2" fillId="2" borderId="37" xfId="0" applyFont="1" applyFill="1" applyBorder="1" applyAlignment="1">
      <alignment wrapText="1"/>
    </xf>
    <xf numFmtId="0" fontId="2" fillId="2" borderId="35" xfId="0" applyFont="1" applyFill="1" applyBorder="1" applyAlignment="1">
      <alignment vertical="top" wrapText="1"/>
    </xf>
    <xf numFmtId="0" fontId="14" fillId="2" borderId="7" xfId="1" applyNumberFormat="1" applyFill="1" applyBorder="1" applyAlignment="1" applyProtection="1">
      <alignment horizontal="left" vertical="center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5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26" fillId="0" borderId="0" xfId="3" applyFont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0" fontId="25" fillId="0" borderId="30" xfId="3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33" xfId="3" applyFont="1" applyBorder="1" applyAlignment="1">
      <alignment horizontal="left" vertical="center" wrapText="1"/>
    </xf>
    <xf numFmtId="0" fontId="6" fillId="2" borderId="29" xfId="5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6" fillId="2" borderId="1" xfId="4" applyFont="1" applyFill="1" applyBorder="1" applyAlignment="1">
      <alignment vertical="top"/>
    </xf>
    <xf numFmtId="0" fontId="4" fillId="2" borderId="0" xfId="4" applyFont="1" applyFill="1" applyAlignment="1">
      <alignment horizontal="center"/>
    </xf>
    <xf numFmtId="0" fontId="6" fillId="2" borderId="2" xfId="0" applyFont="1" applyFill="1" applyBorder="1" applyAlignment="1">
      <alignment vertical="top" wrapText="1"/>
    </xf>
  </cellXfs>
  <cellStyles count="7">
    <cellStyle name="Hyperlink" xfId="1" builtinId="8"/>
    <cellStyle name="Normal" xfId="0" builtinId="0"/>
    <cellStyle name="Normal 2" xfId="2" xr:uid="{A0E2FDA5-812B-45ED-BF97-F6B03CBEB8D8}"/>
    <cellStyle name="Normal 3" xfId="3" xr:uid="{A13D4DB4-5A6B-449A-84F2-EF58351A80E4}"/>
    <cellStyle name="Normal_Functional Test Case v1.0" xfId="4" xr:uid="{5BEE607F-0C58-4BFA-AF80-3869F3B9EA7B}"/>
    <cellStyle name="Normal_Sheet1" xfId="5" xr:uid="{98CC7336-1EC8-4078-A075-29ECF9106F3D}"/>
    <cellStyle name="標準_結合試験(AllOvertheWorld)" xfId="6" xr:uid="{B0DF91BD-276E-4B03-B730-49A8B55E14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E67-A926-4A9A-BA21-8C5002F6C701}">
  <dimension ref="A2:G18"/>
  <sheetViews>
    <sheetView workbookViewId="0">
      <selection activeCell="F10" sqref="F10"/>
    </sheetView>
  </sheetViews>
  <sheetFormatPr defaultColWidth="9" defaultRowHeight="13.2"/>
  <cols>
    <col min="1" max="1" width="2.21875" style="1" customWidth="1"/>
    <col min="2" max="2" width="19.6640625" style="2" customWidth="1"/>
    <col min="3" max="3" width="9.21875" style="1" customWidth="1"/>
    <col min="4" max="4" width="14.44140625" style="1" customWidth="1"/>
    <col min="5" max="5" width="8" style="1" customWidth="1"/>
    <col min="6" max="6" width="31.109375" style="1" customWidth="1"/>
    <col min="7" max="7" width="31" style="1" customWidth="1"/>
    <col min="8" max="16384" width="9" style="1"/>
  </cols>
  <sheetData>
    <row r="2" spans="1:7" s="4" customFormat="1" ht="75.75" customHeight="1">
      <c r="A2" s="3"/>
      <c r="B2" s="125" t="s">
        <v>0</v>
      </c>
      <c r="C2" s="126"/>
      <c r="D2" s="126"/>
      <c r="E2" s="126"/>
      <c r="F2" s="126"/>
      <c r="G2" s="127"/>
    </row>
    <row r="3" spans="1:7">
      <c r="B3" s="5"/>
      <c r="C3" s="6"/>
      <c r="F3" s="7"/>
    </row>
    <row r="4" spans="1:7" ht="14.25" customHeight="1">
      <c r="B4" s="8" t="s">
        <v>1</v>
      </c>
      <c r="C4" s="122" t="s">
        <v>2</v>
      </c>
      <c r="D4" s="122"/>
      <c r="E4" s="122"/>
      <c r="F4" s="8" t="s">
        <v>3</v>
      </c>
      <c r="G4" s="9"/>
    </row>
    <row r="5" spans="1:7" ht="14.25" customHeight="1">
      <c r="B5" s="8" t="s">
        <v>4</v>
      </c>
      <c r="C5" s="122" t="s">
        <v>5</v>
      </c>
      <c r="D5" s="122"/>
      <c r="E5" s="122"/>
      <c r="F5" s="8" t="s">
        <v>6</v>
      </c>
      <c r="G5" s="9"/>
    </row>
    <row r="6" spans="1:7" ht="15.75" customHeight="1">
      <c r="B6" s="123" t="s">
        <v>7</v>
      </c>
      <c r="C6" s="124" t="str">
        <f>C5&amp;"_"&amp;"XXX"&amp;"_"&amp;"vx.x"</f>
        <v>&lt;Project Code&gt;_XXX_vx.x</v>
      </c>
      <c r="D6" s="124"/>
      <c r="E6" s="124"/>
      <c r="F6" s="8" t="s">
        <v>8</v>
      </c>
      <c r="G6" s="11"/>
    </row>
    <row r="7" spans="1:7" ht="13.5" customHeight="1">
      <c r="B7" s="123"/>
      <c r="C7" s="124"/>
      <c r="D7" s="124"/>
      <c r="E7" s="124"/>
      <c r="F7" s="8" t="s">
        <v>9</v>
      </c>
      <c r="G7" s="11"/>
    </row>
    <row r="8" spans="1:7">
      <c r="B8" s="12"/>
      <c r="C8" s="13"/>
      <c r="F8" s="5"/>
      <c r="G8" s="6"/>
    </row>
    <row r="10" spans="1:7">
      <c r="B10" s="14" t="s">
        <v>10</v>
      </c>
    </row>
    <row r="11" spans="1:7" s="15" customFormat="1">
      <c r="B11" s="16" t="s">
        <v>11</v>
      </c>
      <c r="C11" s="17" t="s">
        <v>9</v>
      </c>
      <c r="D11" s="17" t="s">
        <v>12</v>
      </c>
      <c r="E11" s="17" t="s">
        <v>13</v>
      </c>
      <c r="F11" s="17" t="s">
        <v>14</v>
      </c>
      <c r="G11" s="18" t="s">
        <v>15</v>
      </c>
    </row>
    <row r="12" spans="1:7" s="19" customFormat="1" ht="39.6">
      <c r="B12" s="20" t="s">
        <v>16</v>
      </c>
      <c r="C12" s="21"/>
      <c r="D12" s="22"/>
      <c r="E12" s="22"/>
      <c r="F12" s="23"/>
      <c r="G12" s="24" t="s">
        <v>52</v>
      </c>
    </row>
    <row r="13" spans="1:7" s="19" customFormat="1" ht="21.75" customHeight="1">
      <c r="B13" s="25"/>
      <c r="C13" s="21"/>
      <c r="D13" s="22"/>
      <c r="E13" s="22"/>
      <c r="F13" s="22"/>
      <c r="G13" s="26"/>
    </row>
    <row r="14" spans="1:7" s="19" customFormat="1" ht="19.5" customHeight="1">
      <c r="B14" s="25"/>
      <c r="C14" s="21"/>
      <c r="D14" s="22"/>
      <c r="E14" s="22"/>
      <c r="F14" s="22"/>
      <c r="G14" s="26"/>
    </row>
    <row r="15" spans="1:7" s="19" customFormat="1" ht="21.75" customHeight="1">
      <c r="B15" s="25"/>
      <c r="C15" s="21"/>
      <c r="D15" s="22"/>
      <c r="E15" s="22"/>
      <c r="F15" s="22"/>
      <c r="G15" s="26"/>
    </row>
    <row r="16" spans="1:7" s="19" customFormat="1" ht="19.5" customHeight="1">
      <c r="B16" s="25"/>
      <c r="C16" s="21"/>
      <c r="D16" s="22"/>
      <c r="E16" s="22"/>
      <c r="F16" s="22"/>
      <c r="G16" s="26"/>
    </row>
    <row r="17" spans="2:7" s="19" customFormat="1" ht="21.75" customHeight="1">
      <c r="B17" s="25"/>
      <c r="C17" s="21"/>
      <c r="D17" s="22"/>
      <c r="E17" s="22"/>
      <c r="F17" s="22"/>
      <c r="G17" s="26"/>
    </row>
    <row r="18" spans="2:7" s="19" customFormat="1" ht="19.5" customHeight="1">
      <c r="B18" s="27"/>
      <c r="C18" s="28"/>
      <c r="D18" s="29"/>
      <c r="E18" s="29"/>
      <c r="F18" s="29"/>
      <c r="G18" s="30"/>
    </row>
  </sheetData>
  <mergeCells count="5">
    <mergeCell ref="C4:E4"/>
    <mergeCell ref="C5:E5"/>
    <mergeCell ref="B6:B7"/>
    <mergeCell ref="C6:E7"/>
    <mergeCell ref="B2:G2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6E67-5AFA-4B39-AF2C-4132362A62AA}">
  <dimension ref="B1:F21"/>
  <sheetViews>
    <sheetView workbookViewId="0">
      <selection activeCell="D9" sqref="D9"/>
    </sheetView>
  </sheetViews>
  <sheetFormatPr defaultColWidth="9" defaultRowHeight="13.2"/>
  <cols>
    <col min="1" max="1" width="1.33203125" style="7" customWidth="1"/>
    <col min="2" max="2" width="11.77734375" style="31" customWidth="1"/>
    <col min="3" max="3" width="26.44140625" style="32" customWidth="1"/>
    <col min="4" max="4" width="17.109375" style="32" customWidth="1"/>
    <col min="5" max="5" width="28.109375" style="32" customWidth="1"/>
    <col min="6" max="6" width="30.6640625" style="32" customWidth="1"/>
    <col min="7" max="16384" width="9" style="7"/>
  </cols>
  <sheetData>
    <row r="1" spans="2:6" ht="24.6">
      <c r="B1" s="33"/>
      <c r="D1" s="34" t="s">
        <v>17</v>
      </c>
      <c r="E1" s="35"/>
    </row>
    <row r="2" spans="2:6" ht="13.5" customHeight="1">
      <c r="B2" s="33"/>
      <c r="D2" s="36"/>
      <c r="E2" s="36"/>
    </row>
    <row r="3" spans="2:6">
      <c r="B3" s="130" t="s">
        <v>1</v>
      </c>
      <c r="C3" s="130"/>
      <c r="D3" s="131" t="str">
        <f>Cover!C4</f>
        <v>&lt;Project Name&gt;</v>
      </c>
      <c r="E3" s="131"/>
      <c r="F3" s="131"/>
    </row>
    <row r="4" spans="2:6">
      <c r="B4" s="130" t="s">
        <v>4</v>
      </c>
      <c r="C4" s="130"/>
      <c r="D4" s="131" t="str">
        <f>Cover!C5</f>
        <v>&lt;Project Code&gt;</v>
      </c>
      <c r="E4" s="131"/>
      <c r="F4" s="131"/>
    </row>
    <row r="5" spans="2:6" s="37" customFormat="1" ht="84.75" customHeight="1">
      <c r="B5" s="128" t="s">
        <v>18</v>
      </c>
      <c r="C5" s="128"/>
      <c r="D5" s="129" t="s">
        <v>19</v>
      </c>
      <c r="E5" s="129"/>
      <c r="F5" s="129"/>
    </row>
    <row r="6" spans="2:6">
      <c r="B6" s="38"/>
      <c r="C6" s="7"/>
      <c r="D6" s="7"/>
      <c r="E6" s="7"/>
      <c r="F6" s="7"/>
    </row>
    <row r="7" spans="2:6" s="39" customFormat="1">
      <c r="B7" s="40"/>
      <c r="C7" s="41"/>
      <c r="D7" s="41"/>
      <c r="E7" s="41"/>
      <c r="F7" s="41"/>
    </row>
    <row r="8" spans="2:6" s="42" customFormat="1" ht="21" customHeight="1">
      <c r="B8" s="43" t="s">
        <v>20</v>
      </c>
      <c r="C8" s="44" t="s">
        <v>21</v>
      </c>
      <c r="D8" s="44" t="s">
        <v>22</v>
      </c>
      <c r="E8" s="45" t="s">
        <v>23</v>
      </c>
      <c r="F8" s="46" t="s">
        <v>24</v>
      </c>
    </row>
    <row r="9" spans="2:6">
      <c r="B9" s="47">
        <v>2</v>
      </c>
      <c r="C9" s="48" t="s">
        <v>83</v>
      </c>
      <c r="D9" s="121" t="s">
        <v>171</v>
      </c>
      <c r="E9" s="49"/>
      <c r="F9" s="50"/>
    </row>
    <row r="10" spans="2:6">
      <c r="B10" s="47">
        <v>11</v>
      </c>
      <c r="C10" s="48" t="s">
        <v>84</v>
      </c>
      <c r="D10" s="121" t="s">
        <v>85</v>
      </c>
      <c r="E10" s="49"/>
      <c r="F10" s="50"/>
    </row>
    <row r="11" spans="2:6">
      <c r="B11" s="47"/>
      <c r="C11" s="48"/>
      <c r="D11" s="49"/>
      <c r="E11" s="49"/>
      <c r="F11" s="50"/>
    </row>
    <row r="12" spans="2:6">
      <c r="B12" s="47"/>
      <c r="C12" s="48"/>
      <c r="D12" s="49"/>
      <c r="E12" s="49"/>
      <c r="F12" s="50"/>
    </row>
    <row r="13" spans="2:6">
      <c r="B13" s="47"/>
      <c r="C13" s="48"/>
      <c r="D13" s="49"/>
      <c r="E13" s="49"/>
      <c r="F13" s="50"/>
    </row>
    <row r="14" spans="2:6">
      <c r="B14" s="47"/>
      <c r="C14" s="48"/>
      <c r="D14" s="51"/>
      <c r="E14" s="51"/>
      <c r="F14" s="50"/>
    </row>
    <row r="15" spans="2:6">
      <c r="B15" s="47"/>
      <c r="C15" s="48"/>
      <c r="D15" s="51"/>
      <c r="E15" s="51"/>
      <c r="F15" s="50"/>
    </row>
    <row r="16" spans="2:6">
      <c r="B16" s="47"/>
      <c r="C16" s="48"/>
      <c r="D16" s="51"/>
      <c r="E16" s="51"/>
      <c r="F16" s="50"/>
    </row>
    <row r="17" spans="2:6">
      <c r="B17" s="47"/>
      <c r="C17" s="48"/>
      <c r="D17" s="51"/>
      <c r="E17" s="51"/>
      <c r="F17" s="50"/>
    </row>
    <row r="18" spans="2:6">
      <c r="B18" s="47"/>
      <c r="C18" s="48"/>
      <c r="D18" s="51"/>
      <c r="E18" s="51"/>
      <c r="F18" s="50"/>
    </row>
    <row r="19" spans="2:6">
      <c r="B19" s="47"/>
      <c r="C19" s="48"/>
      <c r="D19" s="51"/>
      <c r="E19" s="51"/>
      <c r="F19" s="50"/>
    </row>
    <row r="20" spans="2:6">
      <c r="B20" s="47"/>
      <c r="C20" s="48"/>
      <c r="D20" s="51"/>
      <c r="E20" s="51"/>
      <c r="F20" s="50"/>
    </row>
    <row r="21" spans="2:6">
      <c r="B21" s="52"/>
      <c r="C21" s="53"/>
      <c r="D21" s="54"/>
      <c r="E21" s="54"/>
      <c r="F21" s="55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10" location="S11_GenreCategory!A1" display="S11_GenreCategory" xr:uid="{E6CB52F3-E3CE-4B78-BC1D-4E11DA979369}"/>
    <hyperlink ref="D9" location="S02_SearchFilter!A1" display="S02_SearchFilter!A1" xr:uid="{5068AF63-F2C4-4D94-9B0A-3C617C925A93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9F79-8520-4FD5-9EBF-145591389AE8}">
  <sheetPr filterMode="1"/>
  <dimension ref="A1:H41"/>
  <sheetViews>
    <sheetView view="pageBreakPreview" zoomScaleNormal="100" zoomScaleSheetLayoutView="100" workbookViewId="0">
      <selection activeCell="F10" sqref="F10"/>
    </sheetView>
  </sheetViews>
  <sheetFormatPr defaultColWidth="7.88671875" defaultRowHeight="13.8"/>
  <cols>
    <col min="1" max="3" width="15.6640625" style="103" customWidth="1"/>
    <col min="4" max="4" width="52.44140625" style="104" customWidth="1"/>
    <col min="5" max="5" width="10.77734375" style="103" customWidth="1"/>
    <col min="6" max="6" width="27.44140625" style="104" customWidth="1"/>
    <col min="7" max="16384" width="7.88671875" style="102"/>
  </cols>
  <sheetData>
    <row r="1" spans="1:6" s="99" customFormat="1" ht="26.4">
      <c r="A1" s="64" t="s">
        <v>53</v>
      </c>
      <c r="B1" s="64" t="s">
        <v>54</v>
      </c>
      <c r="C1" s="63" t="s">
        <v>55</v>
      </c>
      <c r="D1" s="63" t="s">
        <v>56</v>
      </c>
      <c r="E1" s="63" t="s">
        <v>57</v>
      </c>
      <c r="F1" s="63" t="s">
        <v>40</v>
      </c>
    </row>
    <row r="2" spans="1:6" ht="21.6" customHeight="1">
      <c r="A2" s="133" t="s">
        <v>87</v>
      </c>
      <c r="B2" s="133" t="s">
        <v>88</v>
      </c>
      <c r="C2" s="137" t="s">
        <v>58</v>
      </c>
      <c r="D2" s="100" t="s">
        <v>90</v>
      </c>
      <c r="E2" s="101" t="s">
        <v>60</v>
      </c>
      <c r="F2" s="100"/>
    </row>
    <row r="3" spans="1:6" ht="13.8" hidden="1" customHeight="1">
      <c r="A3" s="133"/>
      <c r="B3" s="133"/>
      <c r="C3" s="135"/>
      <c r="D3" s="100" t="s">
        <v>77</v>
      </c>
      <c r="E3" s="101" t="s">
        <v>75</v>
      </c>
      <c r="F3" s="100"/>
    </row>
    <row r="4" spans="1:6" ht="13.8" hidden="1" customHeight="1">
      <c r="A4" s="133"/>
      <c r="B4" s="133"/>
      <c r="C4" s="135"/>
      <c r="D4" s="100" t="s">
        <v>78</v>
      </c>
      <c r="E4" s="101" t="s">
        <v>75</v>
      </c>
      <c r="F4" s="100"/>
    </row>
    <row r="5" spans="1:6" ht="26.4" hidden="1" customHeight="1">
      <c r="A5" s="133"/>
      <c r="B5" s="133"/>
      <c r="C5" s="135"/>
      <c r="D5" s="100" t="s">
        <v>59</v>
      </c>
      <c r="E5" s="101" t="s">
        <v>60</v>
      </c>
      <c r="F5" s="100"/>
    </row>
    <row r="6" spans="1:6" ht="26.4" hidden="1" customHeight="1">
      <c r="A6" s="133"/>
      <c r="B6" s="133"/>
      <c r="C6" s="135"/>
      <c r="D6" s="100" t="s">
        <v>61</v>
      </c>
      <c r="E6" s="101" t="s">
        <v>60</v>
      </c>
      <c r="F6" s="100"/>
    </row>
    <row r="7" spans="1:6" ht="26.4" hidden="1" customHeight="1">
      <c r="A7" s="133"/>
      <c r="B7" s="133"/>
      <c r="C7" s="136"/>
      <c r="D7" s="100" t="s">
        <v>62</v>
      </c>
      <c r="E7" s="101" t="s">
        <v>60</v>
      </c>
      <c r="F7" s="100"/>
    </row>
    <row r="8" spans="1:6" ht="13.8" hidden="1" customHeight="1">
      <c r="A8" s="133"/>
      <c r="B8" s="133"/>
      <c r="C8" s="134" t="s">
        <v>63</v>
      </c>
      <c r="D8" s="100" t="s">
        <v>64</v>
      </c>
      <c r="E8" s="101" t="s">
        <v>60</v>
      </c>
      <c r="F8" s="100"/>
    </row>
    <row r="9" spans="1:6" ht="13.8" hidden="1" customHeight="1">
      <c r="A9" s="133"/>
      <c r="B9" s="133"/>
      <c r="C9" s="135"/>
      <c r="D9" s="100" t="s">
        <v>65</v>
      </c>
      <c r="E9" s="101" t="s">
        <v>60</v>
      </c>
      <c r="F9" s="100" t="s">
        <v>66</v>
      </c>
    </row>
    <row r="10" spans="1:6" ht="13.8" hidden="1" customHeight="1">
      <c r="A10" s="133"/>
      <c r="B10" s="133"/>
      <c r="C10" s="136"/>
      <c r="D10" s="100" t="s">
        <v>67</v>
      </c>
      <c r="E10" s="101" t="s">
        <v>60</v>
      </c>
      <c r="F10" s="100"/>
    </row>
    <row r="11" spans="1:6" ht="26.4" hidden="1" customHeight="1">
      <c r="A11" s="133"/>
      <c r="B11" s="133"/>
      <c r="C11" s="134" t="s">
        <v>68</v>
      </c>
      <c r="D11" s="100" t="s">
        <v>69</v>
      </c>
      <c r="E11" s="101" t="s">
        <v>60</v>
      </c>
      <c r="F11" s="100"/>
    </row>
    <row r="12" spans="1:6" ht="26.4" hidden="1" customHeight="1">
      <c r="A12" s="133"/>
      <c r="B12" s="133"/>
      <c r="C12" s="135"/>
      <c r="D12" s="100" t="s">
        <v>70</v>
      </c>
      <c r="E12" s="101" t="s">
        <v>60</v>
      </c>
      <c r="F12" s="100"/>
    </row>
    <row r="13" spans="1:6" ht="26.4" hidden="1" customHeight="1">
      <c r="A13" s="133"/>
      <c r="B13" s="133"/>
      <c r="C13" s="135"/>
      <c r="D13" s="100" t="s">
        <v>71</v>
      </c>
      <c r="E13" s="101" t="s">
        <v>60</v>
      </c>
      <c r="F13" s="100" t="s">
        <v>72</v>
      </c>
    </row>
    <row r="14" spans="1:6" ht="13.8" hidden="1" customHeight="1">
      <c r="A14" s="133"/>
      <c r="B14" s="133"/>
      <c r="C14" s="136"/>
      <c r="D14" s="100" t="s">
        <v>73</v>
      </c>
      <c r="E14" s="101" t="s">
        <v>60</v>
      </c>
      <c r="F14" s="100"/>
    </row>
    <row r="15" spans="1:6" ht="24.6" customHeight="1">
      <c r="A15" s="133"/>
      <c r="B15" s="133"/>
      <c r="C15" s="113" t="s">
        <v>63</v>
      </c>
      <c r="D15" s="100" t="s">
        <v>91</v>
      </c>
      <c r="E15" s="101" t="s">
        <v>60</v>
      </c>
      <c r="F15" s="100"/>
    </row>
    <row r="16" spans="1:6" ht="13.8" hidden="1" customHeight="1">
      <c r="A16" s="133"/>
      <c r="B16" s="133"/>
      <c r="C16" s="134" t="s">
        <v>58</v>
      </c>
      <c r="D16" s="100" t="s">
        <v>76</v>
      </c>
      <c r="E16" s="101" t="s">
        <v>75</v>
      </c>
      <c r="F16" s="100"/>
    </row>
    <row r="17" spans="1:6" ht="13.8" hidden="1" customHeight="1">
      <c r="A17" s="133"/>
      <c r="B17" s="133"/>
      <c r="C17" s="135"/>
      <c r="D17" s="100" t="s">
        <v>77</v>
      </c>
      <c r="E17" s="101" t="s">
        <v>75</v>
      </c>
      <c r="F17" s="100"/>
    </row>
    <row r="18" spans="1:6" ht="13.8" hidden="1" customHeight="1">
      <c r="A18" s="133"/>
      <c r="B18" s="133"/>
      <c r="C18" s="135"/>
      <c r="D18" s="100" t="s">
        <v>78</v>
      </c>
      <c r="E18" s="101" t="s">
        <v>75</v>
      </c>
      <c r="F18" s="100"/>
    </row>
    <row r="19" spans="1:6" ht="26.4" hidden="1" customHeight="1">
      <c r="A19" s="133"/>
      <c r="B19" s="133"/>
      <c r="C19" s="135"/>
      <c r="D19" s="100" t="s">
        <v>59</v>
      </c>
      <c r="E19" s="101" t="s">
        <v>60</v>
      </c>
      <c r="F19" s="100"/>
    </row>
    <row r="20" spans="1:6" ht="26.4" hidden="1" customHeight="1">
      <c r="A20" s="133"/>
      <c r="B20" s="133"/>
      <c r="C20" s="135"/>
      <c r="D20" s="100" t="s">
        <v>61</v>
      </c>
      <c r="E20" s="101" t="s">
        <v>60</v>
      </c>
      <c r="F20" s="100"/>
    </row>
    <row r="21" spans="1:6" ht="26.4" hidden="1" customHeight="1">
      <c r="A21" s="133"/>
      <c r="B21" s="133"/>
      <c r="C21" s="136"/>
      <c r="D21" s="100" t="s">
        <v>62</v>
      </c>
      <c r="E21" s="101" t="s">
        <v>60</v>
      </c>
      <c r="F21" s="100"/>
    </row>
    <row r="22" spans="1:6" ht="13.8" hidden="1" customHeight="1">
      <c r="A22" s="133"/>
      <c r="B22" s="133"/>
      <c r="C22" s="134" t="s">
        <v>63</v>
      </c>
      <c r="D22" s="100" t="s">
        <v>64</v>
      </c>
      <c r="E22" s="101" t="s">
        <v>60</v>
      </c>
      <c r="F22" s="100"/>
    </row>
    <row r="23" spans="1:6" ht="13.8" hidden="1" customHeight="1">
      <c r="A23" s="133"/>
      <c r="B23" s="133"/>
      <c r="C23" s="135"/>
      <c r="D23" s="100" t="s">
        <v>65</v>
      </c>
      <c r="E23" s="101" t="s">
        <v>60</v>
      </c>
      <c r="F23" s="100" t="s">
        <v>66</v>
      </c>
    </row>
    <row r="24" spans="1:6" ht="13.8" hidden="1" customHeight="1">
      <c r="A24" s="133"/>
      <c r="B24" s="133"/>
      <c r="C24" s="136"/>
      <c r="D24" s="100" t="s">
        <v>67</v>
      </c>
      <c r="E24" s="101" t="s">
        <v>60</v>
      </c>
      <c r="F24" s="100"/>
    </row>
    <row r="25" spans="1:6" ht="26.4" hidden="1" customHeight="1">
      <c r="A25" s="133"/>
      <c r="B25" s="133"/>
      <c r="C25" s="134" t="s">
        <v>68</v>
      </c>
      <c r="D25" s="100" t="s">
        <v>69</v>
      </c>
      <c r="E25" s="101" t="s">
        <v>60</v>
      </c>
      <c r="F25" s="100"/>
    </row>
    <row r="26" spans="1:6" ht="26.4" hidden="1" customHeight="1">
      <c r="A26" s="133"/>
      <c r="B26" s="133"/>
      <c r="C26" s="135"/>
      <c r="D26" s="100" t="s">
        <v>70</v>
      </c>
      <c r="E26" s="101" t="s">
        <v>60</v>
      </c>
      <c r="F26" s="100"/>
    </row>
    <row r="27" spans="1:6" ht="26.4" hidden="1" customHeight="1">
      <c r="A27" s="133"/>
      <c r="B27" s="133"/>
      <c r="C27" s="135"/>
      <c r="D27" s="100" t="s">
        <v>71</v>
      </c>
      <c r="E27" s="101" t="s">
        <v>60</v>
      </c>
      <c r="F27" s="100" t="s">
        <v>72</v>
      </c>
    </row>
    <row r="28" spans="1:6" ht="13.8" hidden="1" customHeight="1">
      <c r="A28" s="133"/>
      <c r="B28" s="133"/>
      <c r="C28" s="136"/>
      <c r="D28" s="100" t="s">
        <v>73</v>
      </c>
      <c r="E28" s="101" t="s">
        <v>60</v>
      </c>
      <c r="F28" s="100"/>
    </row>
    <row r="29" spans="1:6" ht="13.8" hidden="1" customHeight="1">
      <c r="A29" s="133"/>
      <c r="B29" s="133"/>
      <c r="C29" s="101"/>
      <c r="D29" s="100" t="s">
        <v>74</v>
      </c>
      <c r="E29" s="101" t="s">
        <v>60</v>
      </c>
      <c r="F29" s="100"/>
    </row>
    <row r="30" spans="1:6" ht="27.6">
      <c r="A30" s="133"/>
      <c r="B30" s="133"/>
      <c r="C30" s="114" t="s">
        <v>92</v>
      </c>
      <c r="D30" s="104" t="s">
        <v>93</v>
      </c>
      <c r="E30" s="103" t="s">
        <v>94</v>
      </c>
    </row>
    <row r="31" spans="1:6">
      <c r="A31" s="133"/>
      <c r="B31" s="132" t="s">
        <v>89</v>
      </c>
      <c r="C31" s="103" t="s">
        <v>95</v>
      </c>
      <c r="D31" s="104" t="s">
        <v>97</v>
      </c>
      <c r="E31" s="103" t="s">
        <v>60</v>
      </c>
    </row>
    <row r="32" spans="1:6">
      <c r="A32" s="133"/>
      <c r="B32" s="132"/>
      <c r="C32" s="103" t="s">
        <v>96</v>
      </c>
      <c r="D32" s="104" t="s">
        <v>98</v>
      </c>
      <c r="E32" s="103" t="s">
        <v>60</v>
      </c>
    </row>
    <row r="33" spans="1:8">
      <c r="A33" s="133"/>
      <c r="B33" s="103" t="s">
        <v>99</v>
      </c>
      <c r="C33" s="103" t="s">
        <v>100</v>
      </c>
      <c r="D33" s="104" t="s">
        <v>101</v>
      </c>
      <c r="E33" s="103" t="s">
        <v>60</v>
      </c>
    </row>
    <row r="34" spans="1:8">
      <c r="A34" s="133"/>
      <c r="B34" s="103" t="s">
        <v>89</v>
      </c>
      <c r="C34" s="103" t="s">
        <v>103</v>
      </c>
      <c r="D34" s="104" t="s">
        <v>102</v>
      </c>
      <c r="E34" s="103" t="s">
        <v>60</v>
      </c>
      <c r="H34" s="115"/>
    </row>
    <row r="35" spans="1:8" ht="16.8" customHeight="1">
      <c r="A35" s="132" t="s">
        <v>104</v>
      </c>
      <c r="B35" s="132" t="s">
        <v>105</v>
      </c>
      <c r="C35" s="103" t="s">
        <v>107</v>
      </c>
      <c r="D35" s="104" t="s">
        <v>114</v>
      </c>
      <c r="E35" s="132" t="s">
        <v>60</v>
      </c>
    </row>
    <row r="36" spans="1:8">
      <c r="A36" s="132"/>
      <c r="B36" s="132"/>
      <c r="C36" s="103" t="s">
        <v>108</v>
      </c>
      <c r="D36" s="104" t="s">
        <v>115</v>
      </c>
      <c r="E36" s="132"/>
    </row>
    <row r="37" spans="1:8">
      <c r="A37" s="132"/>
      <c r="B37" s="132"/>
      <c r="C37" s="103" t="s">
        <v>109</v>
      </c>
      <c r="D37" s="104" t="s">
        <v>116</v>
      </c>
      <c r="E37" s="132"/>
    </row>
    <row r="38" spans="1:8">
      <c r="A38" s="132"/>
      <c r="B38" s="132"/>
      <c r="C38" s="103" t="s">
        <v>110</v>
      </c>
      <c r="D38" s="104" t="s">
        <v>117</v>
      </c>
      <c r="E38" s="132"/>
    </row>
    <row r="39" spans="1:8">
      <c r="A39" s="132"/>
      <c r="B39" s="132" t="s">
        <v>106</v>
      </c>
      <c r="C39" s="103" t="s">
        <v>111</v>
      </c>
      <c r="D39" s="104" t="s">
        <v>118</v>
      </c>
      <c r="E39" s="132"/>
    </row>
    <row r="40" spans="1:8">
      <c r="A40" s="132"/>
      <c r="B40" s="132"/>
      <c r="C40" s="103" t="s">
        <v>112</v>
      </c>
      <c r="D40" s="104" t="s">
        <v>119</v>
      </c>
      <c r="E40" s="132"/>
    </row>
    <row r="41" spans="1:8">
      <c r="A41" s="132"/>
      <c r="B41" s="132"/>
      <c r="C41" s="103" t="s">
        <v>113</v>
      </c>
      <c r="D41" s="104" t="s">
        <v>120</v>
      </c>
      <c r="E41" s="132"/>
    </row>
  </sheetData>
  <autoFilter ref="A1:F29" xr:uid="{B64C34BB-7007-461D-8419-F4C54419C3EF}">
    <filterColumn colId="1">
      <filters>
        <filter val="Filter"/>
        <filter val="Search"/>
      </filters>
    </filterColumn>
  </autoFilter>
  <mergeCells count="13">
    <mergeCell ref="E35:E41"/>
    <mergeCell ref="B31:B32"/>
    <mergeCell ref="A2:A34"/>
    <mergeCell ref="A35:A41"/>
    <mergeCell ref="B35:B38"/>
    <mergeCell ref="B39:B41"/>
    <mergeCell ref="C16:C21"/>
    <mergeCell ref="C22:C24"/>
    <mergeCell ref="C25:C28"/>
    <mergeCell ref="B2:B30"/>
    <mergeCell ref="C2:C7"/>
    <mergeCell ref="C8:C10"/>
    <mergeCell ref="C11:C14"/>
  </mergeCells>
  <pageMargins left="0.39370078740157483" right="0.39370078740157483" top="0.39370078740157483" bottom="0.39370078740157483" header="0.19685039370078741" footer="0.19685039370078741"/>
  <pageSetup paperSize="9" scale="9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2A5C-B83E-42EB-8CF1-D3F1528A9E5C}">
  <dimension ref="A1:J17"/>
  <sheetViews>
    <sheetView workbookViewId="0">
      <pane ySplit="8" topLeftCell="A13" activePane="bottomLeft" state="frozen"/>
      <selection pane="bottomLeft" activeCell="L14" sqref="L14"/>
    </sheetView>
  </sheetViews>
  <sheetFormatPr defaultColWidth="9" defaultRowHeight="13.2"/>
  <cols>
    <col min="1" max="1" width="18.88671875" style="7" bestFit="1" customWidth="1"/>
    <col min="2" max="2" width="19.109375" style="7" customWidth="1"/>
    <col min="3" max="3" width="25.6640625" style="7" customWidth="1"/>
    <col min="4" max="4" width="28.44140625" style="7" customWidth="1"/>
    <col min="5" max="5" width="16.88671875" style="7" customWidth="1"/>
    <col min="6" max="6" width="7.109375" style="7" customWidth="1"/>
    <col min="7" max="7" width="9" style="7"/>
    <col min="8" max="8" width="17.6640625" style="7" customWidth="1"/>
    <col min="9" max="9" width="0" style="7" hidden="1" customWidth="1"/>
    <col min="10" max="16384" width="9" style="7"/>
  </cols>
  <sheetData>
    <row r="1" spans="1:10" s="60" customFormat="1" ht="13.8" thickBot="1">
      <c r="A1" s="56"/>
      <c r="B1" s="57"/>
      <c r="C1" s="57"/>
      <c r="D1" s="57"/>
      <c r="E1" s="57"/>
      <c r="F1" s="58"/>
      <c r="G1" s="59"/>
      <c r="H1" s="37"/>
    </row>
    <row r="2" spans="1:10" s="60" customFormat="1" ht="15" customHeight="1">
      <c r="A2" s="105" t="s">
        <v>25</v>
      </c>
      <c r="B2" s="138" t="s">
        <v>86</v>
      </c>
      <c r="C2" s="138"/>
      <c r="D2" s="138"/>
      <c r="E2" s="138"/>
      <c r="F2" s="138"/>
      <c r="G2" s="138"/>
      <c r="H2" s="138"/>
      <c r="I2" s="60" t="s">
        <v>79</v>
      </c>
    </row>
    <row r="3" spans="1:10" s="60" customFormat="1" ht="25.5" customHeight="1">
      <c r="A3" s="106" t="s">
        <v>27</v>
      </c>
      <c r="B3" s="138" t="s">
        <v>28</v>
      </c>
      <c r="C3" s="138"/>
      <c r="D3" s="138"/>
      <c r="E3" s="138"/>
      <c r="F3" s="138"/>
      <c r="G3" s="138"/>
      <c r="H3" s="138"/>
      <c r="I3" s="60" t="s">
        <v>80</v>
      </c>
    </row>
    <row r="4" spans="1:10" s="60" customFormat="1" ht="18" customHeight="1">
      <c r="A4" s="105" t="s">
        <v>30</v>
      </c>
      <c r="B4" s="138"/>
      <c r="C4" s="138"/>
      <c r="D4" s="138"/>
      <c r="E4" s="138"/>
      <c r="F4" s="138"/>
      <c r="G4" s="138"/>
      <c r="H4" s="138"/>
      <c r="I4" s="60" t="s">
        <v>81</v>
      </c>
    </row>
    <row r="5" spans="1:10" s="60" customFormat="1" ht="19.5" customHeight="1">
      <c r="A5" s="107" t="s">
        <v>79</v>
      </c>
      <c r="B5" s="108" t="s">
        <v>80</v>
      </c>
      <c r="C5" s="108" t="s">
        <v>31</v>
      </c>
      <c r="D5" s="108" t="s">
        <v>81</v>
      </c>
      <c r="E5" s="109" t="s">
        <v>82</v>
      </c>
      <c r="F5" s="139" t="s">
        <v>32</v>
      </c>
      <c r="G5" s="139"/>
      <c r="H5" s="139"/>
      <c r="I5" s="60" t="s">
        <v>31</v>
      </c>
    </row>
    <row r="6" spans="1:10" s="60" customFormat="1" ht="15" customHeight="1" thickBot="1">
      <c r="A6" s="71">
        <f>COUNTIF(F9:F991,"Passed")</f>
        <v>7</v>
      </c>
      <c r="B6" s="110">
        <f>COUNTIF(F9:F991,"Failed")</f>
        <v>0</v>
      </c>
      <c r="C6" s="110">
        <f>F6-E6-D6-B6-A6</f>
        <v>0</v>
      </c>
      <c r="D6" s="110">
        <f>COUNTIF(F$9:F$991,"Blocked")</f>
        <v>0</v>
      </c>
      <c r="E6" s="111">
        <f>COUNTIF(F$9:F$991,"Skipped")</f>
        <v>0</v>
      </c>
      <c r="F6" s="140">
        <f>COUNTA(A9:A991)</f>
        <v>7</v>
      </c>
      <c r="G6" s="140"/>
      <c r="H6" s="140"/>
      <c r="I6" s="60" t="s">
        <v>82</v>
      </c>
    </row>
    <row r="7" spans="1:10" s="60" customFormat="1" ht="15" customHeight="1">
      <c r="D7" s="62"/>
      <c r="E7" s="62"/>
      <c r="F7" s="61"/>
      <c r="G7" s="61"/>
      <c r="H7" s="61"/>
    </row>
    <row r="8" spans="1:10" s="60" customFormat="1" ht="25.5" customHeight="1">
      <c r="A8" s="63" t="s">
        <v>33</v>
      </c>
      <c r="B8" s="63" t="s">
        <v>34</v>
      </c>
      <c r="C8" s="63" t="s">
        <v>35</v>
      </c>
      <c r="D8" s="63" t="s">
        <v>36</v>
      </c>
      <c r="E8" s="64" t="s">
        <v>37</v>
      </c>
      <c r="F8" s="64" t="s">
        <v>38</v>
      </c>
      <c r="G8" s="64" t="s">
        <v>39</v>
      </c>
      <c r="H8" s="63" t="s">
        <v>40</v>
      </c>
    </row>
    <row r="9" spans="1:10" s="68" customFormat="1" ht="132">
      <c r="A9" s="65" t="str">
        <f>IF(OR(B9&lt;&gt;"",D9&lt;&gt;""),"["&amp;TEXT($B$2,"##")&amp;"-"&amp;TEXT(ROW()-10,"##")&amp;"]","")</f>
        <v>[S02_SearchFilter--1]</v>
      </c>
      <c r="B9" s="65" t="s">
        <v>121</v>
      </c>
      <c r="C9" s="65" t="s">
        <v>122</v>
      </c>
      <c r="D9" s="69" t="s">
        <v>123</v>
      </c>
      <c r="E9" s="66" t="s">
        <v>41</v>
      </c>
      <c r="F9" s="112" t="s">
        <v>79</v>
      </c>
      <c r="G9" s="65"/>
      <c r="H9" s="67"/>
    </row>
    <row r="10" spans="1:10" ht="66">
      <c r="A10" s="65" t="str">
        <f>IF(OR(B10&lt;&gt;"",D10&lt;&gt;""),"["&amp;TEXT($B$2,"##")&amp;"-"&amp;TEXT(ROW()-12,"##")&amp;"]","")</f>
        <v>[S02_SearchFilter--2]</v>
      </c>
      <c r="B10" s="65" t="s">
        <v>124</v>
      </c>
      <c r="C10" s="65" t="s">
        <v>125</v>
      </c>
      <c r="D10" s="69" t="s">
        <v>126</v>
      </c>
      <c r="E10" s="69" t="s">
        <v>127</v>
      </c>
      <c r="F10" s="65" t="s">
        <v>79</v>
      </c>
      <c r="G10" s="65"/>
      <c r="H10" s="67"/>
    </row>
    <row r="11" spans="1:10" ht="92.4">
      <c r="A11" s="65" t="str">
        <f>IF(OR(B11&lt;&gt;"",D11&lt;&gt;""),"["&amp;TEXT($B$2,"##")&amp;"-"&amp;TEXT(ROW()-14,"##")&amp;"]","")</f>
        <v>[S02_SearchFilter--3]</v>
      </c>
      <c r="B11" s="65" t="s">
        <v>128</v>
      </c>
      <c r="C11" s="65" t="s">
        <v>129</v>
      </c>
      <c r="D11" s="69" t="s">
        <v>130</v>
      </c>
      <c r="E11" s="69" t="s">
        <v>131</v>
      </c>
      <c r="F11" s="65" t="s">
        <v>79</v>
      </c>
      <c r="G11" s="65"/>
      <c r="H11" s="67"/>
    </row>
    <row r="12" spans="1:10" ht="66">
      <c r="A12" s="65" t="str">
        <f>IF(OR(B12&lt;&gt;"",D12&lt;&gt;""),"["&amp;TEXT($B$2,"##")&amp;"-"&amp;TEXT(ROW()-16,"##")&amp;"]","")</f>
        <v>[S02_SearchFilter--4]</v>
      </c>
      <c r="B12" s="65" t="s">
        <v>132</v>
      </c>
      <c r="C12" s="65" t="s">
        <v>133</v>
      </c>
      <c r="D12" s="65" t="s">
        <v>134</v>
      </c>
      <c r="E12" s="65"/>
      <c r="F12" s="65" t="s">
        <v>79</v>
      </c>
      <c r="G12" s="65"/>
      <c r="H12" s="67"/>
    </row>
    <row r="13" spans="1:10" ht="39.6">
      <c r="A13" s="65" t="str">
        <f>IF(OR(B13&lt;&gt;"",D13&lt;&gt;""),"["&amp;TEXT($B$2,"##")&amp;"-"&amp;TEXT(ROW()-18,"##")&amp;"]","")</f>
        <v>[S02_SearchFilter--5]</v>
      </c>
      <c r="B13" s="65" t="s">
        <v>135</v>
      </c>
      <c r="C13" s="65" t="s">
        <v>136</v>
      </c>
      <c r="D13" s="65" t="s">
        <v>137</v>
      </c>
      <c r="E13" s="65"/>
      <c r="F13" s="65" t="s">
        <v>79</v>
      </c>
      <c r="G13" s="70"/>
      <c r="H13" s="70"/>
    </row>
    <row r="14" spans="1:10" ht="118.8">
      <c r="A14" s="65" t="str">
        <f>IF(OR(B12&lt;&gt;"",D12&lt;&gt;""),"["&amp;TEXT($B$2,"##")&amp;"-"&amp;TEXT(ROW()-20,"##")&amp;"]","")</f>
        <v>[S02_SearchFilter--6]</v>
      </c>
      <c r="B14" s="65" t="s">
        <v>138</v>
      </c>
      <c r="C14" s="65" t="s">
        <v>139</v>
      </c>
      <c r="D14" s="65" t="s">
        <v>140</v>
      </c>
      <c r="E14" s="65" t="s">
        <v>141</v>
      </c>
      <c r="F14" s="65" t="s">
        <v>79</v>
      </c>
      <c r="G14" s="65"/>
      <c r="H14" s="67"/>
    </row>
    <row r="15" spans="1:10" ht="79.2">
      <c r="A15" s="120" t="str">
        <f>IF(OR(B12&lt;&gt;"",D12&lt;&gt;""),"["&amp;TEXT($B$2,"##")&amp;"-"&amp;TEXT(ROW()-22,"##")&amp;"]","")</f>
        <v>[S02_SearchFilter--7]</v>
      </c>
      <c r="B15" s="118" t="s">
        <v>142</v>
      </c>
      <c r="C15" s="118" t="s">
        <v>143</v>
      </c>
      <c r="D15" s="119" t="s">
        <v>144</v>
      </c>
      <c r="E15" s="120" t="s">
        <v>145</v>
      </c>
      <c r="F15" s="65" t="s">
        <v>79</v>
      </c>
      <c r="G15" s="116"/>
      <c r="H15" s="116"/>
      <c r="J15" s="117"/>
    </row>
    <row r="17" s="7" customFormat="1"/>
  </sheetData>
  <mergeCells count="5">
    <mergeCell ref="B2:H2"/>
    <mergeCell ref="B3:H3"/>
    <mergeCell ref="B4:H4"/>
    <mergeCell ref="F5:H5"/>
    <mergeCell ref="F6:H6"/>
  </mergeCells>
  <phoneticPr fontId="0" type="noConversion"/>
  <dataValidations count="1">
    <dataValidation type="list" allowBlank="1" showErrorMessage="1" sqref="F1 F7:F140" xr:uid="{A92774AB-2E3C-4EEC-893E-83E534542FEA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AC21-713A-49DC-BFFF-39AA85FECCBF}">
  <dimension ref="A1:J17"/>
  <sheetViews>
    <sheetView workbookViewId="0">
      <pane ySplit="8" topLeftCell="A9" activePane="bottomLeft" state="frozen"/>
      <selection pane="bottomLeft" activeCell="K11" sqref="K11"/>
    </sheetView>
  </sheetViews>
  <sheetFormatPr defaultColWidth="9" defaultRowHeight="13.2"/>
  <cols>
    <col min="1" max="1" width="18.88671875" style="7" bestFit="1" customWidth="1"/>
    <col min="2" max="2" width="19.109375" style="7" customWidth="1"/>
    <col min="3" max="3" width="25.6640625" style="7" customWidth="1"/>
    <col min="4" max="4" width="28.44140625" style="7" customWidth="1"/>
    <col min="5" max="5" width="16.88671875" style="7" customWidth="1"/>
    <col min="6" max="6" width="7.109375" style="7" customWidth="1"/>
    <col min="7" max="7" width="9" style="7"/>
    <col min="8" max="8" width="17.6640625" style="7" customWidth="1"/>
    <col min="9" max="9" width="0" style="7" hidden="1" customWidth="1"/>
    <col min="10" max="16384" width="9" style="7"/>
  </cols>
  <sheetData>
    <row r="1" spans="1:10" s="60" customFormat="1" ht="13.8" thickBot="1">
      <c r="A1" s="56"/>
      <c r="B1" s="57"/>
      <c r="C1" s="57"/>
      <c r="D1" s="57"/>
      <c r="E1" s="57"/>
      <c r="F1" s="58"/>
      <c r="G1" s="59"/>
      <c r="H1" s="37"/>
    </row>
    <row r="2" spans="1:10" s="60" customFormat="1" ht="15" customHeight="1">
      <c r="A2" s="105" t="s">
        <v>25</v>
      </c>
      <c r="B2" s="138" t="s">
        <v>85</v>
      </c>
      <c r="C2" s="138"/>
      <c r="D2" s="138"/>
      <c r="E2" s="138"/>
      <c r="F2" s="138"/>
      <c r="G2" s="138"/>
      <c r="H2" s="138"/>
      <c r="I2" s="60" t="s">
        <v>79</v>
      </c>
    </row>
    <row r="3" spans="1:10" s="60" customFormat="1" ht="25.5" customHeight="1">
      <c r="A3" s="106" t="s">
        <v>27</v>
      </c>
      <c r="B3" s="138" t="s">
        <v>28</v>
      </c>
      <c r="C3" s="138"/>
      <c r="D3" s="138"/>
      <c r="E3" s="138"/>
      <c r="F3" s="138"/>
      <c r="G3" s="138"/>
      <c r="H3" s="138"/>
      <c r="I3" s="60" t="s">
        <v>80</v>
      </c>
    </row>
    <row r="4" spans="1:10" s="60" customFormat="1" ht="18" customHeight="1">
      <c r="A4" s="105" t="s">
        <v>30</v>
      </c>
      <c r="B4" s="138"/>
      <c r="C4" s="138"/>
      <c r="D4" s="138"/>
      <c r="E4" s="138"/>
      <c r="F4" s="138"/>
      <c r="G4" s="138"/>
      <c r="H4" s="138"/>
      <c r="I4" s="60" t="s">
        <v>81</v>
      </c>
    </row>
    <row r="5" spans="1:10" s="60" customFormat="1" ht="19.5" customHeight="1">
      <c r="A5" s="107" t="s">
        <v>79</v>
      </c>
      <c r="B5" s="108" t="s">
        <v>80</v>
      </c>
      <c r="C5" s="108" t="s">
        <v>31</v>
      </c>
      <c r="D5" s="108" t="s">
        <v>81</v>
      </c>
      <c r="E5" s="109" t="s">
        <v>82</v>
      </c>
      <c r="F5" s="139" t="s">
        <v>32</v>
      </c>
      <c r="G5" s="139"/>
      <c r="H5" s="139"/>
      <c r="I5" s="60" t="s">
        <v>31</v>
      </c>
    </row>
    <row r="6" spans="1:10" s="60" customFormat="1" ht="15" customHeight="1" thickBot="1">
      <c r="A6" s="71">
        <f>COUNTIF(F9:F991,"Passed")</f>
        <v>7</v>
      </c>
      <c r="B6" s="110">
        <f>COUNTIF(F9:F991,"Failed")</f>
        <v>0</v>
      </c>
      <c r="C6" s="110">
        <f>F6-E6-D6-B6-A6</f>
        <v>0</v>
      </c>
      <c r="D6" s="110">
        <f>COUNTIF(F$9:F$991,"Blocked")</f>
        <v>0</v>
      </c>
      <c r="E6" s="111">
        <f>COUNTIF(F$9:F$991,"Skipped")</f>
        <v>0</v>
      </c>
      <c r="F6" s="140">
        <f>COUNTA(A9:A991)</f>
        <v>7</v>
      </c>
      <c r="G6" s="140"/>
      <c r="H6" s="140"/>
      <c r="I6" s="60" t="s">
        <v>82</v>
      </c>
    </row>
    <row r="7" spans="1:10" s="60" customFormat="1" ht="15" customHeight="1">
      <c r="D7" s="62"/>
      <c r="E7" s="62"/>
      <c r="F7" s="61"/>
      <c r="G7" s="61"/>
      <c r="H7" s="61"/>
    </row>
    <row r="8" spans="1:10" s="60" customFormat="1" ht="25.5" customHeight="1">
      <c r="A8" s="63" t="s">
        <v>33</v>
      </c>
      <c r="B8" s="63" t="s">
        <v>34</v>
      </c>
      <c r="C8" s="63" t="s">
        <v>35</v>
      </c>
      <c r="D8" s="63" t="s">
        <v>36</v>
      </c>
      <c r="E8" s="64" t="s">
        <v>37</v>
      </c>
      <c r="F8" s="64" t="s">
        <v>38</v>
      </c>
      <c r="G8" s="64" t="s">
        <v>39</v>
      </c>
      <c r="H8" s="63" t="s">
        <v>40</v>
      </c>
    </row>
    <row r="9" spans="1:10" s="68" customFormat="1" ht="92.4">
      <c r="A9" s="65" t="str">
        <f>IF(OR(B9&lt;&gt;"",D9&lt;&gt;""),"["&amp;TEXT($B$2,"##")&amp;"-"&amp;TEXT(ROW()-10,"##")&amp;"]","")</f>
        <v>[S11_GenreCategory--1]</v>
      </c>
      <c r="B9" s="65" t="s">
        <v>146</v>
      </c>
      <c r="C9" s="65" t="s">
        <v>147</v>
      </c>
      <c r="D9" s="69" t="s">
        <v>148</v>
      </c>
      <c r="E9" s="66" t="s">
        <v>41</v>
      </c>
      <c r="F9" s="112" t="s">
        <v>79</v>
      </c>
      <c r="G9" s="65"/>
      <c r="H9" s="67"/>
    </row>
    <row r="10" spans="1:10" ht="79.2">
      <c r="A10" s="65" t="str">
        <f>IF(OR(B10&lt;&gt;"",D10&lt;&gt;""),"["&amp;TEXT($B$2,"##")&amp;"-"&amp;TEXT(ROW()-12,"##")&amp;"]","")</f>
        <v>[S11_GenreCategory--2]</v>
      </c>
      <c r="B10" s="65" t="s">
        <v>149</v>
      </c>
      <c r="C10" s="65" t="s">
        <v>150</v>
      </c>
      <c r="D10" s="69" t="s">
        <v>151</v>
      </c>
      <c r="E10" s="69" t="s">
        <v>152</v>
      </c>
      <c r="F10" s="112" t="s">
        <v>79</v>
      </c>
      <c r="G10" s="65"/>
      <c r="H10" s="67"/>
    </row>
    <row r="11" spans="1:10" ht="66">
      <c r="A11" s="65" t="str">
        <f>IF(OR(B11&lt;&gt;"",D11&lt;&gt;""),"["&amp;TEXT($B$2,"##")&amp;"-"&amp;TEXT(ROW()-14,"##")&amp;"]","")</f>
        <v>[S11_GenreCategory--3]</v>
      </c>
      <c r="B11" s="65" t="s">
        <v>153</v>
      </c>
      <c r="C11" s="65" t="s">
        <v>154</v>
      </c>
      <c r="D11" s="69" t="s">
        <v>155</v>
      </c>
      <c r="E11" s="69" t="s">
        <v>156</v>
      </c>
      <c r="F11" s="112" t="s">
        <v>79</v>
      </c>
      <c r="G11" s="65"/>
      <c r="H11" s="67"/>
    </row>
    <row r="12" spans="1:10" ht="52.8">
      <c r="A12" s="65" t="str">
        <f>IF(OR(B12&lt;&gt;"",D12&lt;&gt;""),"["&amp;TEXT($B$2,"##")&amp;"-"&amp;TEXT(ROW()-16,"##")&amp;"]","")</f>
        <v>[S11_GenreCategory--4]</v>
      </c>
      <c r="B12" s="65" t="s">
        <v>157</v>
      </c>
      <c r="C12" s="65" t="s">
        <v>158</v>
      </c>
      <c r="D12" s="65" t="s">
        <v>159</v>
      </c>
      <c r="E12" s="65" t="s">
        <v>160</v>
      </c>
      <c r="F12" s="112" t="s">
        <v>79</v>
      </c>
      <c r="G12" s="65"/>
      <c r="H12" s="67"/>
    </row>
    <row r="13" spans="1:10" ht="66">
      <c r="A13" s="65" t="str">
        <f>IF(OR(B13&lt;&gt;"",D13&lt;&gt;""),"["&amp;TEXT($B$2,"##")&amp;"-"&amp;TEXT(ROW()-18,"##")&amp;"]","")</f>
        <v>[S11_GenreCategory--5]</v>
      </c>
      <c r="B13" s="65" t="s">
        <v>161</v>
      </c>
      <c r="C13" s="65" t="s">
        <v>162</v>
      </c>
      <c r="D13" s="65" t="s">
        <v>163</v>
      </c>
      <c r="E13" s="65"/>
      <c r="F13" s="112" t="s">
        <v>79</v>
      </c>
      <c r="G13" s="70"/>
      <c r="H13" s="70"/>
    </row>
    <row r="14" spans="1:10" ht="66">
      <c r="A14" s="65" t="str">
        <f>IF(OR(B12&lt;&gt;"",D12&lt;&gt;""),"["&amp;TEXT($B$2,"##")&amp;"-"&amp;TEXT(ROW()-20,"##")&amp;"]","")</f>
        <v>[S11_GenreCategory--6]</v>
      </c>
      <c r="B14" s="65" t="s">
        <v>164</v>
      </c>
      <c r="C14" s="65" t="s">
        <v>165</v>
      </c>
      <c r="D14" s="65" t="s">
        <v>166</v>
      </c>
      <c r="E14" s="65"/>
      <c r="F14" s="112" t="s">
        <v>79</v>
      </c>
      <c r="G14" s="65"/>
      <c r="H14" s="67"/>
    </row>
    <row r="15" spans="1:10" ht="66">
      <c r="A15" s="120" t="str">
        <f>IF(OR(B12&lt;&gt;"",D12&lt;&gt;""),"["&amp;TEXT($B$2,"##")&amp;"-"&amp;TEXT(ROW()-22,"##")&amp;"]","")</f>
        <v>[S11_GenreCategory--7]</v>
      </c>
      <c r="B15" s="118" t="s">
        <v>167</v>
      </c>
      <c r="C15" s="118" t="s">
        <v>168</v>
      </c>
      <c r="D15" s="119" t="s">
        <v>169</v>
      </c>
      <c r="E15" s="120" t="s">
        <v>170</v>
      </c>
      <c r="F15" s="112" t="s">
        <v>79</v>
      </c>
      <c r="G15" s="116"/>
      <c r="H15" s="116"/>
      <c r="J15" s="117"/>
    </row>
    <row r="17" s="7" customFormat="1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0" xr:uid="{A3047EBB-0F5A-4F95-8350-D2D96B6D07AC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9B6-6D7A-4C56-AE31-BA4BF456CD8F}">
  <dimension ref="A1:I16"/>
  <sheetViews>
    <sheetView tabSelected="1" workbookViewId="0">
      <selection activeCell="L7" sqref="L7"/>
    </sheetView>
  </sheetViews>
  <sheetFormatPr defaultColWidth="9" defaultRowHeight="13.2"/>
  <cols>
    <col min="1" max="1" width="9" style="7"/>
    <col min="2" max="2" width="13.44140625" style="7" customWidth="1"/>
    <col min="3" max="3" width="19.33203125" style="7" customWidth="1"/>
    <col min="4" max="7" width="9" style="7"/>
    <col min="8" max="8" width="9.21875" style="7" customWidth="1"/>
    <col min="9" max="9" width="23.44140625" style="7" customWidth="1"/>
    <col min="10" max="16384" width="9" style="7"/>
  </cols>
  <sheetData>
    <row r="1" spans="1:9" ht="25.5" customHeight="1">
      <c r="B1" s="143" t="s">
        <v>42</v>
      </c>
      <c r="C1" s="143"/>
      <c r="D1" s="143"/>
      <c r="E1" s="143"/>
      <c r="F1" s="143"/>
      <c r="G1" s="143"/>
      <c r="H1" s="143"/>
    </row>
    <row r="2" spans="1:9" ht="14.25" customHeight="1">
      <c r="A2" s="72"/>
      <c r="B2" s="72"/>
      <c r="C2" s="73"/>
      <c r="D2" s="73"/>
      <c r="E2" s="73"/>
      <c r="F2" s="73"/>
      <c r="G2" s="73"/>
      <c r="H2" s="74"/>
    </row>
    <row r="3" spans="1:9" ht="12" customHeight="1">
      <c r="B3" s="10" t="s">
        <v>1</v>
      </c>
      <c r="C3" s="131" t="s">
        <v>2</v>
      </c>
      <c r="D3" s="131"/>
      <c r="E3" s="141" t="s">
        <v>3</v>
      </c>
      <c r="F3" s="141"/>
      <c r="G3" s="75"/>
      <c r="H3" s="76"/>
    </row>
    <row r="4" spans="1:9" ht="12" customHeight="1">
      <c r="B4" s="10" t="s">
        <v>4</v>
      </c>
      <c r="C4" s="131" t="s">
        <v>5</v>
      </c>
      <c r="D4" s="131"/>
      <c r="E4" s="141" t="s">
        <v>6</v>
      </c>
      <c r="F4" s="141"/>
      <c r="G4" s="75"/>
      <c r="H4" s="76"/>
    </row>
    <row r="5" spans="1:9" ht="12" customHeight="1">
      <c r="B5" s="77" t="s">
        <v>7</v>
      </c>
      <c r="C5" s="131" t="str">
        <f>C4&amp;"_"&amp;"Test Report"&amp;"_"&amp;"vx.x"</f>
        <v>&lt;Project Code&gt;_Test Report_vx.x</v>
      </c>
      <c r="D5" s="131"/>
      <c r="E5" s="141" t="s">
        <v>8</v>
      </c>
      <c r="F5" s="141"/>
      <c r="G5" s="75"/>
      <c r="H5" s="144" t="s">
        <v>43</v>
      </c>
    </row>
    <row r="6" spans="1:9" ht="21.75" customHeight="1">
      <c r="A6" s="72"/>
      <c r="B6" s="77" t="s">
        <v>44</v>
      </c>
      <c r="C6" s="142" t="s">
        <v>45</v>
      </c>
      <c r="D6" s="142"/>
      <c r="E6" s="142"/>
      <c r="F6" s="142"/>
      <c r="G6" s="142"/>
      <c r="H6" s="142"/>
    </row>
    <row r="7" spans="1:9" ht="14.25" customHeight="1">
      <c r="A7" s="72"/>
      <c r="B7" s="12"/>
      <c r="C7" s="78"/>
      <c r="D7" s="73"/>
      <c r="E7" s="73"/>
      <c r="F7" s="73"/>
      <c r="G7" s="73"/>
      <c r="H7" s="74"/>
    </row>
    <row r="8" spans="1:9">
      <c r="B8" s="12"/>
      <c r="C8" s="78"/>
      <c r="D8" s="73"/>
      <c r="E8" s="73"/>
      <c r="F8" s="73"/>
      <c r="G8" s="73"/>
      <c r="H8" s="74"/>
    </row>
    <row r="9" spans="1:9">
      <c r="B9" s="80" t="s">
        <v>20</v>
      </c>
      <c r="C9" s="81" t="s">
        <v>46</v>
      </c>
      <c r="D9" s="82" t="s">
        <v>26</v>
      </c>
      <c r="E9" s="81" t="s">
        <v>29</v>
      </c>
      <c r="F9" s="81" t="s">
        <v>31</v>
      </c>
      <c r="G9" s="83" t="s">
        <v>81</v>
      </c>
      <c r="H9" s="84" t="s">
        <v>82</v>
      </c>
      <c r="I9" s="84" t="s">
        <v>47</v>
      </c>
    </row>
    <row r="10" spans="1:9">
      <c r="A10" s="79"/>
      <c r="B10" s="85">
        <v>1</v>
      </c>
      <c r="C10" s="86" t="str">
        <f>S02_SearchFilter!B2</f>
        <v>S02_SearchFilter</v>
      </c>
      <c r="D10" s="87">
        <f>S02_SearchFilter!A6</f>
        <v>7</v>
      </c>
      <c r="E10" s="87">
        <f>S02_SearchFilter!B6</f>
        <v>0</v>
      </c>
      <c r="F10" s="87">
        <f>S02_SearchFilter!C6</f>
        <v>0</v>
      </c>
      <c r="G10" s="87">
        <f>S02_SearchFilter!D6</f>
        <v>0</v>
      </c>
      <c r="H10" s="87">
        <f>S02_SearchFilter!E6</f>
        <v>0</v>
      </c>
      <c r="I10" s="87">
        <f>S02_SearchFilter!F6</f>
        <v>7</v>
      </c>
    </row>
    <row r="11" spans="1:9">
      <c r="A11" s="79"/>
      <c r="B11" s="85">
        <v>2</v>
      </c>
      <c r="C11" s="86" t="str">
        <f>S11_GenreCategory!B2</f>
        <v>S11_GenreCategory</v>
      </c>
      <c r="D11" s="87">
        <f>S11_GenreCategory!A6</f>
        <v>7</v>
      </c>
      <c r="E11" s="87">
        <f>S11_GenreCategory!B6</f>
        <v>0</v>
      </c>
      <c r="F11" s="87">
        <f>S11_GenreCategory!C6</f>
        <v>0</v>
      </c>
      <c r="G11" s="87">
        <f>S11_GenreCategory!D6</f>
        <v>0</v>
      </c>
      <c r="H11" s="87">
        <f>S11_GenreCategory!E6</f>
        <v>0</v>
      </c>
      <c r="I11" s="87">
        <f>S11_GenreCategory!F6</f>
        <v>7</v>
      </c>
    </row>
    <row r="12" spans="1:9">
      <c r="A12" s="79"/>
      <c r="B12" s="85"/>
      <c r="C12" s="86"/>
      <c r="D12" s="87"/>
      <c r="E12" s="87"/>
      <c r="F12" s="87"/>
      <c r="G12" s="88"/>
      <c r="H12" s="88"/>
      <c r="I12" s="89"/>
    </row>
    <row r="13" spans="1:9">
      <c r="A13" s="79"/>
      <c r="B13" s="90"/>
      <c r="C13" s="91" t="s">
        <v>48</v>
      </c>
      <c r="D13" s="92">
        <f t="shared" ref="D13:I13" si="0">SUM(D8:D12)</f>
        <v>14</v>
      </c>
      <c r="E13" s="92">
        <f t="shared" si="0"/>
        <v>0</v>
      </c>
      <c r="F13" s="92">
        <f t="shared" si="0"/>
        <v>0</v>
      </c>
      <c r="G13" s="92">
        <f t="shared" si="0"/>
        <v>0</v>
      </c>
      <c r="H13" s="93">
        <f t="shared" si="0"/>
        <v>0</v>
      </c>
      <c r="I13" s="93">
        <f t="shared" si="0"/>
        <v>14</v>
      </c>
    </row>
    <row r="14" spans="1:9">
      <c r="B14" s="94"/>
      <c r="D14" s="95"/>
      <c r="E14" s="96"/>
      <c r="F14" s="96"/>
      <c r="G14" s="96"/>
      <c r="H14" s="96"/>
    </row>
    <row r="15" spans="1:9">
      <c r="C15" s="97" t="s">
        <v>49</v>
      </c>
      <c r="E15" s="98">
        <f>(D13+E13)*100/(I13-H13-G13)</f>
        <v>100</v>
      </c>
      <c r="F15" s="7" t="s">
        <v>50</v>
      </c>
      <c r="H15" s="62"/>
    </row>
    <row r="16" spans="1:9">
      <c r="C16" s="97" t="s">
        <v>51</v>
      </c>
      <c r="E16" s="98">
        <f>D13*100/(D13+E13)</f>
        <v>100</v>
      </c>
      <c r="F16" s="7" t="s">
        <v>50</v>
      </c>
      <c r="H16" s="62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Number_x0020_Of_x0020_Viewer xmlns="cd6d2771-e08b-42a3-90f8-eca630337659">0</Number_x0020_Of_x0020_Viewer>
    <_SourceUrl xmlns="http://schemas.microsoft.com/sharepoint/v3" xsi:nil="true"/>
    <Priority xmlns="41A7A25E-88C5-415C-AB9A-358CCBEA8A85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1696f36ed93db054fc8f4d62be39c1ae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bffc5b2d08ab4fb7daf98c77989d8342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description="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D23A11-D4B6-4D0C-A878-6729F31AC06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d6d2771-e08b-42a3-90f8-eca630337659"/>
    <ds:schemaRef ds:uri="41A7A25E-88C5-415C-AB9A-358CCBEA8A85"/>
  </ds:schemaRefs>
</ds:datastoreItem>
</file>

<file path=customXml/itemProps3.xml><?xml version="1.0" encoding="utf-8"?>
<ds:datastoreItem xmlns:ds="http://schemas.openxmlformats.org/officeDocument/2006/customXml" ds:itemID="{898618FE-843B-48E6-B1F2-2AB76D41F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Test case List</vt:lpstr>
      <vt:lpstr>TestDesign</vt:lpstr>
      <vt:lpstr>S02_SearchFilter</vt:lpstr>
      <vt:lpstr>S11_GenreCategory</vt:lpstr>
      <vt:lpstr>Test Report</vt:lpstr>
      <vt:lpstr>TestDesign!Print_Area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Admin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Administrator</cp:lastModifiedBy>
  <cp:lastPrinted>2010-11-12T10:33:20Z</cp:lastPrinted>
  <dcterms:created xsi:type="dcterms:W3CDTF">2014-07-14T08:56:24Z</dcterms:created>
  <dcterms:modified xsi:type="dcterms:W3CDTF">2025-11-15T14:17:12Z</dcterms:modified>
  <cp:category>BM</cp:category>
</cp:coreProperties>
</file>