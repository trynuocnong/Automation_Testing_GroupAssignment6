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ntt15\Downloads\AUTOTEST\group\21130596-NguyenThanhTu\"/>
    </mc:Choice>
  </mc:AlternateContent>
  <xr:revisionPtr revIDLastSave="0" documentId="13_ncr:1_{CD42CD16-F137-493C-8A58-C58B41B4002F}" xr6:coauthVersionLast="47" xr6:coauthVersionMax="47" xr10:uidLastSave="{00000000-0000-0000-0000-000000000000}"/>
  <bookViews>
    <workbookView xWindow="-120" yWindow="-120" windowWidth="29040" windowHeight="15720" tabRatio="821" activeTab="4" xr2:uid="{67A9CA4E-B830-48E7-B9B2-CCBC9EF8E739}"/>
  </bookViews>
  <sheets>
    <sheet name="Cover" sheetId="1" r:id="rId1"/>
    <sheet name="Test case List" sheetId="2" r:id="rId2"/>
    <sheet name="TestDesign" sheetId="6" r:id="rId3"/>
    <sheet name="Module04" sheetId="9" r:id="rId4"/>
    <sheet name="Module14" sheetId="8" r:id="rId5"/>
    <sheet name="Test Report" sheetId="5" r:id="rId6"/>
  </sheets>
  <externalReferences>
    <externalReference r:id="rId7"/>
  </externalReferences>
  <definedNames>
    <definedName name="_xlnm._FilterDatabase" localSheetId="3" hidden="1">Module04!$A$8:$H$16</definedName>
    <definedName name="_xlnm._FilterDatabase" localSheetId="4" hidden="1">Module14!$A$8:$H$14</definedName>
    <definedName name="_xlnm._FilterDatabase" localSheetId="2" hidden="1">TestDesign!$A$1:$F$15</definedName>
    <definedName name="_Toc301930468" localSheetId="2">TestDesign!#REF!</definedName>
    <definedName name="_Toc301930478" localSheetId="2">TestDesign!#REF!</definedName>
    <definedName name="ACTION">#REF!</definedName>
    <definedName name="Module04">'Test case List'!$D$9</definedName>
    <definedName name="Module14">'Test case List'!$D$10</definedName>
    <definedName name="_xlnm.Print_Area" localSheetId="2">TestDesign!$A$1:$F$25</definedName>
  </definedNames>
  <calcPr calcId="181029"/>
</workbook>
</file>

<file path=xl/calcChain.xml><?xml version="1.0" encoding="utf-8"?>
<calcChain xmlns="http://schemas.openxmlformats.org/spreadsheetml/2006/main">
  <c r="E11" i="5" l="1"/>
  <c r="E10" i="5"/>
  <c r="D10" i="5"/>
  <c r="D11" i="5"/>
  <c r="E13" i="5" l="1"/>
  <c r="C11" i="5"/>
  <c r="C10" i="5"/>
  <c r="I11" i="5"/>
  <c r="I10" i="5"/>
  <c r="H11" i="5"/>
  <c r="G11" i="5"/>
  <c r="F11" i="5"/>
  <c r="H10" i="5"/>
  <c r="H13" i="5" s="1"/>
  <c r="G10" i="5"/>
  <c r="G13" i="5" s="1"/>
  <c r="F10" i="5"/>
  <c r="F13" i="5" s="1"/>
  <c r="F6" i="9"/>
  <c r="C6" i="9" s="1"/>
  <c r="E6" i="9"/>
  <c r="D6" i="9"/>
  <c r="B6" i="9"/>
  <c r="A6" i="9"/>
  <c r="F6" i="8"/>
  <c r="E6" i="8"/>
  <c r="D6" i="8"/>
  <c r="B6" i="8"/>
  <c r="A6" i="8"/>
  <c r="D13" i="5" s="1"/>
  <c r="C6" i="1"/>
  <c r="D4" i="2"/>
  <c r="C5" i="5"/>
  <c r="I13" i="5" l="1"/>
  <c r="E16" i="5"/>
  <c r="E15" i="5"/>
  <c r="C6" i="8"/>
  <c r="H16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11" authorId="0" shapeId="0" xr:uid="{8E921F3E-1EB8-4D67-B8EE-4F8241139A65}">
      <text>
        <r>
          <rPr>
            <b/>
            <sz val="10"/>
            <color indexed="8"/>
            <rFont val="Times New Roman"/>
            <family val="1"/>
          </rPr>
          <t>*A</t>
        </r>
        <r>
          <rPr>
            <sz val="10"/>
            <color indexed="8"/>
            <rFont val="Times New Roman"/>
            <family val="1"/>
          </rPr>
          <t xml:space="preserve">: Add
  </t>
        </r>
        <r>
          <rPr>
            <b/>
            <sz val="10"/>
            <color indexed="8"/>
            <rFont val="Times New Roman"/>
            <family val="1"/>
          </rPr>
          <t>M</t>
        </r>
        <r>
          <rPr>
            <sz val="10"/>
            <color indexed="8"/>
            <rFont val="Times New Roman"/>
            <family val="1"/>
          </rPr>
          <t xml:space="preserve">: Modify
  </t>
        </r>
        <r>
          <rPr>
            <b/>
            <sz val="10"/>
            <color indexed="8"/>
            <rFont val="Times New Roman"/>
            <family val="1"/>
          </rPr>
          <t>D</t>
        </r>
        <r>
          <rPr>
            <sz val="10"/>
            <color indexed="8"/>
            <rFont val="Times New Roman"/>
            <family val="1"/>
          </rPr>
          <t xml:space="preserve">: Delete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Tran Thi Lanh</author>
  </authors>
  <commentList>
    <comment ref="C1" authorId="0" shapeId="0" xr:uid="{D0F8B156-7514-435B-9802-8B692443A050}">
      <text>
        <r>
          <rPr>
            <b/>
            <sz val="8"/>
            <color indexed="81"/>
            <rFont val="Tahoma"/>
          </rPr>
          <t>Tran Thi Lanh:</t>
        </r>
        <r>
          <rPr>
            <sz val="8"/>
            <color indexed="81"/>
            <rFont val="Tahoma"/>
          </rPr>
          <t xml:space="preserve">
It does not required to have 3 requirement levels. It depends on your decentralization.</t>
        </r>
      </text>
    </comment>
    <comment ref="D1" authorId="0" shapeId="0" xr:uid="{7C3CB1A0-48C7-481F-B1B1-2392518C1A50}">
      <text>
        <r>
          <rPr>
            <b/>
            <sz val="8"/>
            <color indexed="81"/>
            <rFont val="Tahoma"/>
          </rPr>
          <t>Tran Thi Lanh:</t>
        </r>
        <r>
          <rPr>
            <sz val="8"/>
            <color indexed="81"/>
            <rFont val="Tahoma"/>
          </rPr>
          <t xml:space="preserve">
Brief description about the case you'll check</t>
        </r>
      </text>
    </comment>
    <comment ref="E1" authorId="0" shapeId="0" xr:uid="{CF00C53B-007E-465A-9B9A-F83A933CA75F}">
      <text>
        <r>
          <rPr>
            <b/>
            <sz val="8"/>
            <color indexed="81"/>
            <rFont val="Tahoma"/>
          </rPr>
          <t>Tran Thi Lanh:</t>
        </r>
        <r>
          <rPr>
            <sz val="8"/>
            <color indexed="81"/>
            <rFont val="Tahoma"/>
          </rPr>
          <t xml:space="preserve">
GUI
Function
Non-function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8" authorId="0" shapeId="0" xr:uid="{FA5F8E29-4548-4167-963D-B27C458995ED}">
      <text>
        <r>
          <rPr>
            <b/>
            <sz val="8"/>
            <color indexed="8"/>
            <rFont val="Times New Roman"/>
            <family val="1"/>
          </rPr>
          <t xml:space="preserve">Pass
Fail
Untested
N/A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8" authorId="0" shapeId="0" xr:uid="{6A3ED0B9-9881-4F8A-9BE5-97B935EC77B7}">
      <text>
        <r>
          <rPr>
            <b/>
            <sz val="8"/>
            <color indexed="8"/>
            <rFont val="Times New Roman"/>
            <family val="1"/>
          </rPr>
          <t xml:space="preserve">Pass
Fail
Untested
N/A
</t>
        </r>
      </text>
    </comment>
  </commentList>
</comments>
</file>

<file path=xl/sharedStrings.xml><?xml version="1.0" encoding="utf-8"?>
<sst xmlns="http://schemas.openxmlformats.org/spreadsheetml/2006/main" count="318" uniqueCount="211">
  <si>
    <t>TEST CASE</t>
  </si>
  <si>
    <t>Project Name</t>
  </si>
  <si>
    <t>Creator</t>
  </si>
  <si>
    <t>Project Code</t>
  </si>
  <si>
    <t>&lt;Project Code&gt;</t>
  </si>
  <si>
    <t>Reviewer/Approver</t>
  </si>
  <si>
    <t>Document Code</t>
  </si>
  <si>
    <t>Issue Date</t>
  </si>
  <si>
    <t>Version</t>
  </si>
  <si>
    <t>Record of change</t>
  </si>
  <si>
    <t>Effective Date</t>
  </si>
  <si>
    <t>Change Item</t>
  </si>
  <si>
    <t>*A,D,M</t>
  </si>
  <si>
    <t>Change description</t>
  </si>
  <si>
    <t>Reference</t>
  </si>
  <si>
    <t>&lt;Date when these changes are effective&gt;</t>
  </si>
  <si>
    <t>TEST CASE LIST</t>
  </si>
  <si>
    <t>Test Environment Setup Description</t>
  </si>
  <si>
    <t>No</t>
  </si>
  <si>
    <t>Function Name</t>
  </si>
  <si>
    <t>Sheet Name</t>
  </si>
  <si>
    <t>Description</t>
  </si>
  <si>
    <t>Pre-Condition</t>
  </si>
  <si>
    <t>Function A</t>
  </si>
  <si>
    <t>Module Code</t>
  </si>
  <si>
    <t>Pass</t>
  </si>
  <si>
    <t>Test requirement</t>
  </si>
  <si>
    <t>Fail</t>
  </si>
  <si>
    <t>Tester</t>
  </si>
  <si>
    <t>Untested</t>
  </si>
  <si>
    <t>Number of Test cases</t>
  </si>
  <si>
    <t>ID</t>
  </si>
  <si>
    <t>Test Case Description</t>
  </si>
  <si>
    <t>Test Case Procedure</t>
  </si>
  <si>
    <t>Expected Output</t>
  </si>
  <si>
    <t>Inter-test case Dependence</t>
  </si>
  <si>
    <t>Result</t>
  </si>
  <si>
    <t>Test date</t>
  </si>
  <si>
    <t>Note</t>
  </si>
  <si>
    <t>TEST REPORT</t>
  </si>
  <si>
    <t>Notes</t>
  </si>
  <si>
    <t>Module code</t>
  </si>
  <si>
    <t>Number of  test cases</t>
  </si>
  <si>
    <t>Sub total</t>
  </si>
  <si>
    <t>Test coverage</t>
  </si>
  <si>
    <t>%</t>
  </si>
  <si>
    <t>Test successful coverage</t>
  </si>
  <si>
    <t>&lt;List of documents which are referred in this version.&gt;</t>
  </si>
  <si>
    <t>Requirement Level 1</t>
  </si>
  <si>
    <t>Requirement Level 2</t>
  </si>
  <si>
    <t>Requirement Level 3</t>
  </si>
  <si>
    <t>Test Criteria</t>
  </si>
  <si>
    <t>Test Type</t>
  </si>
  <si>
    <t>Function</t>
  </si>
  <si>
    <t>GUI</t>
  </si>
  <si>
    <t>Passed</t>
  </si>
  <si>
    <t>Failed</t>
  </si>
  <si>
    <t>Blocked</t>
  </si>
  <si>
    <t>Skipped</t>
  </si>
  <si>
    <t>No Requirement</t>
  </si>
  <si>
    <t>Testing using Manual &amp; Automation for hdtoday</t>
  </si>
  <si>
    <t>1. Web Browser
2. BugBug (Automation Testing Tool)
3. CSV files (for DDT)</t>
  </si>
  <si>
    <t>TC04-01</t>
  </si>
  <si>
    <t>Navigation Menu: Verify that all header menu links navigate correctly.</t>
  </si>
  <si>
    <t>1. Click the 'Home' link.
2. Click the 'Movies' link.
3. Click the 'TV Shows' link.</t>
  </si>
  <si>
    <t>1. Each link navigates to the correct page.
2. Page title updates accordingly.
3. Active menu item is highlighted.
4. No 404 error appears.</t>
  </si>
  <si>
    <t>TC04-02</t>
  </si>
  <si>
    <t>Footer Links: Verify that footer links function properly.</t>
  </si>
  <si>
    <t>1. Scroll to the footer.
2. Click 'About'.
3. Click 'Contact'.
4. Click 'Privacy'.
5. Click 'Terms'.</t>
  </si>
  <si>
    <t>1. All links work (no broken links).
2. External links open in a new tab.
3. Internal links open in the same tab.</t>
  </si>
  <si>
    <t>TC04-03</t>
  </si>
  <si>
    <t>Logo Navigation: Verify that clicking the website logo navigates to the homepage.</t>
  </si>
  <si>
    <t>1. Navigate to any page (e.g., /movies).
2. Click the website Logo/Site name.</t>
  </si>
  <si>
    <t>1. User is redirected to the Homepage (/).
2. Homepage content loads fully.
3. URL matches main domain.</t>
  </si>
  <si>
    <t>TC04-04</t>
  </si>
  <si>
    <t>Breadcrumb Navigation: Verify breadcrumb path and navigation.</t>
  </si>
  <si>
    <t>1. Navigate to /genre/action/avengers-endgame.
2. Click 'Action' in the breadcrumb.</t>
  </si>
  <si>
    <t>1. Breadcrumb displays as 'Home &gt; Action &gt; Avengers'.
2. Clicking 'Action' navigates to /genre/action.
3. Current page has distinct active styling.</t>
  </si>
  <si>
    <t>TC04-05</t>
  </si>
  <si>
    <t>Pagination: Verify page navigation through pagination controls.</t>
  </si>
  <si>
    <t>1. Navigate to a page with pagination.
2. Click 'Page 2'.
3. Click 'Next'.
4. Click 'Previous'.</t>
  </si>
  <si>
    <t>1. Correct page loads on each click.
2. URL updates with ?page=2, ?page=3...
3. Current page number is highlighted.</t>
  </si>
  <si>
    <t>TC04-06</t>
  </si>
  <si>
    <t>404 Error Page: Verify that invalid URLs show the correct 404 page.</t>
  </si>
  <si>
    <t>1. Access URL: /not-exist-page-12345.</t>
  </si>
  <si>
    <t>1. 404 design page is displayed.
2. Message 'Page not found' appears.
3. 'Go to Homepage' link is available.</t>
  </si>
  <si>
    <t>TC14-01</t>
  </si>
  <si>
    <t>Movie Details Page: Verify full information display.</t>
  </si>
  <si>
    <t>1. Navigate to /movie/inception.</t>
  </si>
  <si>
    <t>1. Title, Poster, Rating, Duration, Year, Genres, Director, Cast are displayed.
2. Synopsis is shown.
3. 'Watch Now' button is visible.</t>
  </si>
  <si>
    <t>TC14-02</t>
  </si>
  <si>
    <t>Director Page Navigation: Verify navigation from director link.</t>
  </si>
  <si>
    <t>TC14-03</t>
  </si>
  <si>
    <t>Actor Page Navigation: Verify navigation from actor link.</t>
  </si>
  <si>
    <t>1. Click on actor name (e.g., Leonardo DiCaprio).</t>
  </si>
  <si>
    <t>TC14-04</t>
  </si>
  <si>
    <t>Trailer Playback: Verify trailer modal and playback.</t>
  </si>
  <si>
    <t>1. Click the 'Watch Trailer' button.</t>
  </si>
  <si>
    <t>1. Trailer modal opens.
2. Trailer plays successfully.
3. Close button is visible.</t>
  </si>
  <si>
    <t>TC14-05</t>
  </si>
  <si>
    <t>Share Movie: Verify share functionality.</t>
  </si>
  <si>
    <t>1. Click the Share icon.
2. Click 'Copy Link'.</t>
  </si>
  <si>
    <t>1. Share menu displays available options.
2. Link is copied to clipboard.
3. Toast message 'Link copied!' appears.</t>
  </si>
  <si>
    <t>TC14-06</t>
  </si>
  <si>
    <t>Related Movies: Verify related movie section.</t>
  </si>
  <si>
    <t>1. Scroll to the 'Related Movies' section.</t>
  </si>
  <si>
    <t>1. 6–12 related movies are displayed.
2. Movie cards are clickable.</t>
  </si>
  <si>
    <t>TC14-07</t>
  </si>
  <si>
    <t>Add to Watchlist: Verify adding movie to watchlist.</t>
  </si>
  <si>
    <t>1. Click 'Add to Watchlist' button.</t>
  </si>
  <si>
    <t>1. Button text changes to 'Remove from Watchlist'.
2. Icon updates.
3. Toast notification appears.</t>
  </si>
  <si>
    <t>Nguyen Thanh Tu</t>
  </si>
  <si>
    <t>TC04 - Navigation Menu &amp; Links</t>
  </si>
  <si>
    <t>TC14 - Movie Details Page</t>
  </si>
  <si>
    <t>Navigation Menu &amp; Links</t>
  </si>
  <si>
    <t>Movie Details Page</t>
  </si>
  <si>
    <t>1. Click on the Genre (e.g., Action).</t>
  </si>
  <si>
    <t>1. Navigates to /genre/action.
2. Action movie list is displayed.</t>
  </si>
  <si>
    <t>1. Navigates to /cast/leonardo-dicaprio.
2. Actor filmography are displayed.</t>
  </si>
  <si>
    <t>15/11/2025</t>
  </si>
  <si>
    <t>14/11/2025</t>
  </si>
  <si>
    <t>Navigation</t>
  </si>
  <si>
    <t>Click Action</t>
  </si>
  <si>
    <t>Verify Home, Movies, TV Shows navigate correctly</t>
  </si>
  <si>
    <t>Check correct routing</t>
  </si>
  <si>
    <t>Active State</t>
  </si>
  <si>
    <t>Verify active menu highlight</t>
  </si>
  <si>
    <t>Highlight color consistency</t>
  </si>
  <si>
    <t>Title Update</t>
  </si>
  <si>
    <t>Page titles update on navigation</t>
  </si>
  <si>
    <t>SEO title format</t>
  </si>
  <si>
    <t>Footer Links</t>
  </si>
  <si>
    <t>External Link</t>
  </si>
  <si>
    <t>External links open new tab</t>
  </si>
  <si>
    <t>Function/UI</t>
  </si>
  <si>
    <t>Ensure target=_blank</t>
  </si>
  <si>
    <t>Internal Link</t>
  </si>
  <si>
    <t>Internal links open same tab</t>
  </si>
  <si>
    <t>Check routing speed</t>
  </si>
  <si>
    <t>Logo Action</t>
  </si>
  <si>
    <t>Homepage Navigation</t>
  </si>
  <si>
    <t>Clicking logo returns to homepage</t>
  </si>
  <si>
    <t>Check logo clickable area</t>
  </si>
  <si>
    <t>Breadcrumb</t>
  </si>
  <si>
    <t>Structure</t>
  </si>
  <si>
    <t>Breadcrumb shows Home &gt; Category &gt; Item</t>
  </si>
  <si>
    <t>Spacing &amp; divider styling</t>
  </si>
  <si>
    <t>Clicking breadcrumb navigates correctly</t>
  </si>
  <si>
    <t>SPA navigation</t>
  </si>
  <si>
    <t>Pagination</t>
  </si>
  <si>
    <t>Page Change</t>
  </si>
  <si>
    <t>Page 2, Next, Previous navigate correctly</t>
  </si>
  <si>
    <t>URL param updates</t>
  </si>
  <si>
    <t>Highlight</t>
  </si>
  <si>
    <t>Current page highlight</t>
  </si>
  <si>
    <t>Color &amp; font consistency</t>
  </si>
  <si>
    <t>Error Handling</t>
  </si>
  <si>
    <t>Display</t>
  </si>
  <si>
    <t>404 page appears for invalid URL</t>
  </si>
  <si>
    <t>Message format check</t>
  </si>
  <si>
    <t>Go to Homepage link works</t>
  </si>
  <si>
    <t>CTA must stand out</t>
  </si>
  <si>
    <t>Movie Details</t>
  </si>
  <si>
    <t>Metadata</t>
  </si>
  <si>
    <t>Title, Poster, Rating, Duration, Year displayed</t>
  </si>
  <si>
    <t>GUI/Function</t>
  </si>
  <si>
    <t>Alignment &amp; spacing</t>
  </si>
  <si>
    <t>Synopsis</t>
  </si>
  <si>
    <t>Synopsis visible</t>
  </si>
  <si>
    <t>Typography consistency</t>
  </si>
  <si>
    <t>Watch Now</t>
  </si>
  <si>
    <t>Watch Now button visible</t>
  </si>
  <si>
    <t>Contrast &amp; size</t>
  </si>
  <si>
    <t>Trailer</t>
  </si>
  <si>
    <t>Playback</t>
  </si>
  <si>
    <t>Trailer modal opens &amp; plays</t>
  </si>
  <si>
    <t>Overlay opacity</t>
  </si>
  <si>
    <t>Close Action</t>
  </si>
  <si>
    <t>Close icon works</t>
  </si>
  <si>
    <t>ESC accessibility</t>
  </si>
  <si>
    <t>Share</t>
  </si>
  <si>
    <t>Copy Link</t>
  </si>
  <si>
    <t>Copy Link copies URL</t>
  </si>
  <si>
    <t>Toast appears</t>
  </si>
  <si>
    <t>Related Movies</t>
  </si>
  <si>
    <t>6–12 related movies displayed</t>
  </si>
  <si>
    <t>Card spacing</t>
  </si>
  <si>
    <t>Clickable</t>
  </si>
  <si>
    <t>Movie cards clickable</t>
  </si>
  <si>
    <t>Hover animation</t>
  </si>
  <si>
    <t>Watchlist</t>
  </si>
  <si>
    <t>Add Action</t>
  </si>
  <si>
    <t>Add to Watchlist updates state</t>
  </si>
  <si>
    <t>Toast + icon change</t>
  </si>
  <si>
    <t>Remove Action</t>
  </si>
  <si>
    <t>Remove updates UI</t>
  </si>
  <si>
    <t>Sync server &amp; UI</t>
  </si>
  <si>
    <t>Genre</t>
  </si>
  <si>
    <t>Genre Page</t>
  </si>
  <si>
    <t>Check URL slug &amp; filter accuracy</t>
  </si>
  <si>
    <t>Cast</t>
  </si>
  <si>
    <t>Cast Page</t>
  </si>
  <si>
    <t>Clicking actor navigates to cast page</t>
  </si>
  <si>
    <t>Clicking a genre navigates to genre page</t>
  </si>
  <si>
    <t>Ensure cast name slug consistency</t>
  </si>
  <si>
    <t>4. Navigation &amp; Links</t>
  </si>
  <si>
    <t>14. Movie Details Page</t>
  </si>
  <si>
    <t>&lt;List modules included in this release&gt; ex: Release 1 includes 2 modules: Module4 and Module14</t>
  </si>
  <si>
    <t>Module14</t>
  </si>
  <si>
    <t>Module04</t>
  </si>
  <si>
    <t>Share menu does not appear when clicking Share icon.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</si>
</sst>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mm\-yy;@"/>
  </numFmts>
  <fonts count="32">
    <font>
      <sz val="11"/>
      <name val="ＭＳ Ｐゴシック"/>
      <charset val="128"/>
    </font>
    <font>
      <sz val="11"/>
      <color theme="1"/>
      <name val="Calibri"/>
      <family val="2"/>
      <scheme val="minor"/>
    </font>
    <font>
      <sz val="9"/>
      <name val="ＭＳ ゴシック"/>
      <family val="3"/>
      <charset val="128"/>
    </font>
    <font>
      <sz val="10"/>
      <name val="Tahoma"/>
      <family val="2"/>
    </font>
    <font>
      <b/>
      <sz val="22"/>
      <color indexed="10"/>
      <name val="Tahoma"/>
      <family val="2"/>
    </font>
    <font>
      <b/>
      <sz val="20"/>
      <color indexed="8"/>
      <name val="Tahoma"/>
      <family val="2"/>
    </font>
    <font>
      <b/>
      <sz val="10"/>
      <color indexed="60"/>
      <name val="Tahoma"/>
      <family val="2"/>
    </font>
    <font>
      <i/>
      <sz val="10"/>
      <color indexed="17"/>
      <name val="Tahoma"/>
      <family val="2"/>
    </font>
    <font>
      <b/>
      <sz val="10"/>
      <color indexed="9"/>
      <name val="Tahoma"/>
      <family val="2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  <font>
      <b/>
      <sz val="10"/>
      <color indexed="8"/>
      <name val="Tahoma"/>
      <family val="2"/>
    </font>
    <font>
      <b/>
      <sz val="10"/>
      <color indexed="10"/>
      <name val="Tahoma"/>
      <family val="2"/>
    </font>
    <font>
      <b/>
      <sz val="10"/>
      <name val="Tahoma"/>
      <family val="2"/>
    </font>
    <font>
      <u/>
      <sz val="10"/>
      <color indexed="12"/>
      <name val="Tahoma"/>
      <family val="2"/>
    </font>
    <font>
      <u/>
      <sz val="11"/>
      <color indexed="12"/>
      <name val="ＭＳ Ｐゴシック"/>
      <family val="3"/>
      <charset val="128"/>
    </font>
    <font>
      <sz val="10"/>
      <color indexed="10"/>
      <name val="Tahoma"/>
      <family val="2"/>
    </font>
    <font>
      <sz val="10"/>
      <color indexed="8"/>
      <name val="Tahoma"/>
      <family val="2"/>
    </font>
    <font>
      <b/>
      <sz val="8"/>
      <color indexed="8"/>
      <name val="Times New Roman"/>
      <family val="1"/>
    </font>
    <font>
      <sz val="10"/>
      <color indexed="9"/>
      <name val="Tahoma"/>
      <family val="2"/>
    </font>
    <font>
      <b/>
      <sz val="10"/>
      <color indexed="12"/>
      <name val="Tahoma"/>
      <family val="2"/>
    </font>
    <font>
      <sz val="11"/>
      <name val="ＭＳ Ｐゴシック"/>
      <charset val="128"/>
    </font>
    <font>
      <sz val="8"/>
      <color indexed="81"/>
      <name val="Tahoma"/>
    </font>
    <font>
      <b/>
      <sz val="8"/>
      <color indexed="81"/>
      <name val="Tahoma"/>
    </font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3"/>
      <charset val="128"/>
      <scheme val="minor"/>
    </font>
    <font>
      <b/>
      <sz val="10"/>
      <color theme="1"/>
      <name val="Calibri"/>
      <family val="3"/>
      <charset val="128"/>
      <scheme val="minor"/>
    </font>
    <font>
      <sz val="10"/>
      <color theme="1"/>
      <name val="Calibri"/>
      <family val="3"/>
      <charset val="128"/>
      <scheme val="minor"/>
    </font>
    <font>
      <sz val="8"/>
      <name val="ＭＳ Ｐゴシック"/>
      <charset val="128"/>
    </font>
    <font>
      <sz val="11"/>
      <name val="ＭＳ Ｐゴシック"/>
      <family val="2"/>
      <charset val="254"/>
    </font>
    <font>
      <u/>
      <sz val="11"/>
      <color indexed="12"/>
      <name val="ＭＳ Ｐゴシック"/>
      <family val="2"/>
      <charset val="254"/>
    </font>
    <font>
      <sz val="11"/>
      <color theme="1"/>
      <name val="Calibri"/>
      <family val="2"/>
      <charset val="254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8"/>
        <bgColor indexed="32"/>
      </patternFill>
    </fill>
    <fill>
      <patternFill patternType="solid">
        <fgColor indexed="62"/>
        <bgColor indexed="56"/>
      </patternFill>
    </fill>
    <fill>
      <patternFill patternType="solid">
        <fgColor indexed="27"/>
        <bgColor indexed="41"/>
      </patternFill>
    </fill>
  </fills>
  <borders count="3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/>
      <top style="thin">
        <color indexed="8"/>
      </top>
      <bottom style="hair">
        <color indexed="8"/>
      </bottom>
      <diagonal/>
    </border>
    <border>
      <left/>
      <right/>
      <top/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/>
      <bottom/>
      <diagonal/>
    </border>
    <border>
      <left/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medium">
        <color indexed="8"/>
      </right>
      <top style="thin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 style="medium">
        <color indexed="8"/>
      </right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medium">
        <color indexed="8"/>
      </right>
      <top style="hair">
        <color indexed="8"/>
      </top>
      <bottom style="thin">
        <color indexed="8"/>
      </bottom>
      <diagonal/>
    </border>
    <border>
      <left style="medium">
        <color indexed="8"/>
      </left>
      <right/>
      <top/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/>
      <diagonal/>
    </border>
  </borders>
  <cellStyleXfs count="12">
    <xf numFmtId="0" fontId="0" fillId="0" borderId="0"/>
    <xf numFmtId="0" fontId="15" fillId="0" borderId="0" applyNumberFormat="0" applyFill="0" applyBorder="0" applyAlignment="0" applyProtection="0"/>
    <xf numFmtId="0" fontId="24" fillId="0" borderId="0"/>
    <xf numFmtId="0" fontId="25" fillId="0" borderId="0"/>
    <xf numFmtId="0" fontId="21" fillId="0" borderId="0"/>
    <xf numFmtId="0" fontId="21" fillId="0" borderId="0"/>
    <xf numFmtId="0" fontId="2" fillId="0" borderId="0"/>
    <xf numFmtId="0" fontId="1" fillId="0" borderId="0"/>
    <xf numFmtId="0" fontId="29" fillId="0" borderId="0"/>
    <xf numFmtId="0" fontId="30" fillId="0" borderId="0" applyNumberFormat="0" applyFill="0" applyBorder="0" applyAlignment="0" applyProtection="0"/>
    <xf numFmtId="0" fontId="31" fillId="0" borderId="0"/>
    <xf numFmtId="0" fontId="31" fillId="0" borderId="0"/>
  </cellStyleXfs>
  <cellXfs count="137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indent="1"/>
    </xf>
    <xf numFmtId="0" fontId="4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2" borderId="0" xfId="0" applyFont="1" applyFill="1" applyAlignment="1">
      <alignment horizontal="left" indent="1"/>
    </xf>
    <xf numFmtId="0" fontId="7" fillId="0" borderId="0" xfId="0" applyFont="1" applyAlignment="1">
      <alignment horizontal="left" indent="1"/>
    </xf>
    <xf numFmtId="0" fontId="3" fillId="2" borderId="0" xfId="0" applyFont="1" applyFill="1"/>
    <xf numFmtId="0" fontId="6" fillId="2" borderId="1" xfId="0" applyFont="1" applyFill="1" applyBorder="1" applyAlignment="1">
      <alignment horizontal="left"/>
    </xf>
    <xf numFmtId="0" fontId="3" fillId="0" borderId="2" xfId="0" applyFont="1" applyBorder="1"/>
    <xf numFmtId="0" fontId="6" fillId="2" borderId="1" xfId="0" applyFont="1" applyFill="1" applyBorder="1" applyAlignment="1">
      <alignment horizontal="left" vertical="center"/>
    </xf>
    <xf numFmtId="0" fontId="7" fillId="0" borderId="2" xfId="0" applyFont="1" applyBorder="1" applyAlignment="1">
      <alignment horizontal="left" indent="1"/>
    </xf>
    <xf numFmtId="0" fontId="6" fillId="2" borderId="0" xfId="0" applyFont="1" applyFill="1"/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3" fillId="0" borderId="0" xfId="0" applyFont="1" applyAlignment="1">
      <alignment vertical="center"/>
    </xf>
    <xf numFmtId="164" fontId="8" fillId="3" borderId="3" xfId="0" applyNumberFormat="1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3" fillId="0" borderId="0" xfId="0" applyFont="1" applyAlignment="1">
      <alignment vertical="top"/>
    </xf>
    <xf numFmtId="0" fontId="7" fillId="0" borderId="6" xfId="0" applyFont="1" applyBorder="1" applyAlignment="1">
      <alignment vertical="top" wrapText="1"/>
    </xf>
    <xf numFmtId="49" fontId="3" fillId="0" borderId="7" xfId="0" applyNumberFormat="1" applyFont="1" applyBorder="1" applyAlignment="1">
      <alignment vertical="top"/>
    </xf>
    <xf numFmtId="0" fontId="3" fillId="0" borderId="7" xfId="0" applyFont="1" applyBorder="1" applyAlignment="1">
      <alignment vertical="top"/>
    </xf>
    <xf numFmtId="15" fontId="3" fillId="0" borderId="7" xfId="0" applyNumberFormat="1" applyFont="1" applyBorder="1" applyAlignment="1">
      <alignment vertical="top"/>
    </xf>
    <xf numFmtId="0" fontId="7" fillId="0" borderId="8" xfId="0" applyFont="1" applyBorder="1" applyAlignment="1">
      <alignment vertical="top" wrapText="1"/>
    </xf>
    <xf numFmtId="164" fontId="3" fillId="0" borderId="6" xfId="0" applyNumberFormat="1" applyFont="1" applyBorder="1" applyAlignment="1">
      <alignment vertical="top"/>
    </xf>
    <xf numFmtId="0" fontId="3" fillId="0" borderId="8" xfId="0" applyFont="1" applyBorder="1" applyAlignment="1">
      <alignment vertical="top"/>
    </xf>
    <xf numFmtId="164" fontId="3" fillId="0" borderId="9" xfId="0" applyNumberFormat="1" applyFont="1" applyBorder="1" applyAlignment="1">
      <alignment vertical="top"/>
    </xf>
    <xf numFmtId="49" fontId="3" fillId="0" borderId="10" xfId="0" applyNumberFormat="1" applyFont="1" applyBorder="1" applyAlignment="1">
      <alignment vertical="top"/>
    </xf>
    <xf numFmtId="0" fontId="3" fillId="0" borderId="10" xfId="0" applyFont="1" applyBorder="1" applyAlignment="1">
      <alignment vertical="top"/>
    </xf>
    <xf numFmtId="0" fontId="3" fillId="0" borderId="11" xfId="0" applyFont="1" applyBorder="1" applyAlignment="1">
      <alignment vertical="top"/>
    </xf>
    <xf numFmtId="1" fontId="3" fillId="2" borderId="0" xfId="0" applyNumberFormat="1" applyFont="1" applyFill="1"/>
    <xf numFmtId="0" fontId="3" fillId="2" borderId="0" xfId="0" applyFont="1" applyFill="1" applyAlignment="1">
      <alignment horizontal="left"/>
    </xf>
    <xf numFmtId="1" fontId="3" fillId="2" borderId="0" xfId="0" applyNumberFormat="1" applyFont="1" applyFill="1" applyProtection="1">
      <protection hidden="1"/>
    </xf>
    <xf numFmtId="0" fontId="5" fillId="2" borderId="0" xfId="0" applyFont="1" applyFill="1" applyAlignment="1">
      <alignment horizontal="left"/>
    </xf>
    <xf numFmtId="0" fontId="11" fillId="2" borderId="0" xfId="0" applyFont="1" applyFill="1" applyAlignment="1">
      <alignment horizontal="left"/>
    </xf>
    <xf numFmtId="0" fontId="12" fillId="2" borderId="0" xfId="0" applyFont="1" applyFill="1" applyAlignment="1">
      <alignment horizontal="left"/>
    </xf>
    <xf numFmtId="0" fontId="3" fillId="2" borderId="0" xfId="0" applyFont="1" applyFill="1" applyAlignment="1">
      <alignment wrapText="1"/>
    </xf>
    <xf numFmtId="1" fontId="6" fillId="2" borderId="0" xfId="0" applyNumberFormat="1" applyFont="1" applyFill="1"/>
    <xf numFmtId="0" fontId="3" fillId="2" borderId="0" xfId="0" applyFont="1" applyFill="1" applyAlignment="1">
      <alignment vertical="center"/>
    </xf>
    <xf numFmtId="1" fontId="3" fillId="2" borderId="0" xfId="0" applyNumberFormat="1" applyFont="1" applyFill="1" applyAlignment="1" applyProtection="1">
      <alignment vertical="center"/>
      <protection hidden="1"/>
    </xf>
    <xf numFmtId="0" fontId="3" fillId="2" borderId="0" xfId="0" applyFont="1" applyFill="1" applyAlignment="1">
      <alignment horizontal="left" vertical="center"/>
    </xf>
    <xf numFmtId="0" fontId="13" fillId="2" borderId="0" xfId="0" applyFont="1" applyFill="1" applyAlignment="1">
      <alignment horizontal="center"/>
    </xf>
    <xf numFmtId="1" fontId="8" fillId="4" borderId="3" xfId="0" applyNumberFormat="1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8" fillId="4" borderId="12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1" fontId="3" fillId="2" borderId="6" xfId="0" applyNumberFormat="1" applyFont="1" applyFill="1" applyBorder="1" applyAlignment="1">
      <alignment vertical="center"/>
    </xf>
    <xf numFmtId="49" fontId="3" fillId="2" borderId="7" xfId="0" applyNumberFormat="1" applyFont="1" applyFill="1" applyBorder="1" applyAlignment="1">
      <alignment horizontal="left" vertical="center"/>
    </xf>
    <xf numFmtId="0" fontId="14" fillId="2" borderId="7" xfId="1" applyNumberFormat="1" applyFont="1" applyFill="1" applyBorder="1" applyAlignment="1" applyProtection="1">
      <alignment horizontal="left" vertical="center"/>
    </xf>
    <xf numFmtId="0" fontId="3" fillId="2" borderId="8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1" fontId="3" fillId="2" borderId="9" xfId="0" applyNumberFormat="1" applyFont="1" applyFill="1" applyBorder="1" applyAlignment="1">
      <alignment vertical="center"/>
    </xf>
    <xf numFmtId="49" fontId="3" fillId="2" borderId="10" xfId="0" applyNumberFormat="1" applyFont="1" applyFill="1" applyBorder="1" applyAlignment="1">
      <alignment horizontal="left" vertical="center"/>
    </xf>
    <xf numFmtId="0" fontId="3" fillId="2" borderId="10" xfId="0" applyFont="1" applyFill="1" applyBorder="1" applyAlignment="1">
      <alignment horizontal="left" vertical="center"/>
    </xf>
    <xf numFmtId="0" fontId="3" fillId="2" borderId="11" xfId="0" applyFont="1" applyFill="1" applyBorder="1" applyAlignment="1">
      <alignment horizontal="left" vertical="center"/>
    </xf>
    <xf numFmtId="0" fontId="16" fillId="2" borderId="0" xfId="0" applyFont="1" applyFill="1"/>
    <xf numFmtId="0" fontId="17" fillId="2" borderId="13" xfId="0" applyFont="1" applyFill="1" applyBorder="1"/>
    <xf numFmtId="0" fontId="17" fillId="2" borderId="13" xfId="0" applyFont="1" applyFill="1" applyBorder="1" applyAlignment="1">
      <alignment wrapText="1"/>
    </xf>
    <xf numFmtId="0" fontId="3" fillId="2" borderId="13" xfId="0" applyFont="1" applyFill="1" applyBorder="1" applyAlignment="1">
      <alignment wrapText="1"/>
    </xf>
    <xf numFmtId="0" fontId="13" fillId="2" borderId="0" xfId="0" applyFont="1" applyFill="1" applyAlignment="1">
      <alignment wrapText="1"/>
    </xf>
    <xf numFmtId="0" fontId="16" fillId="2" borderId="0" xfId="0" applyFont="1" applyFill="1" applyAlignment="1">
      <alignment wrapText="1"/>
    </xf>
    <xf numFmtId="0" fontId="17" fillId="2" borderId="0" xfId="0" applyFont="1" applyFill="1"/>
    <xf numFmtId="0" fontId="3" fillId="2" borderId="0" xfId="0" applyFont="1" applyFill="1" applyAlignment="1">
      <alignment horizontal="center" wrapText="1"/>
    </xf>
    <xf numFmtId="0" fontId="16" fillId="2" borderId="0" xfId="0" applyFont="1" applyFill="1" applyAlignment="1">
      <alignment horizontal="center" wrapText="1"/>
    </xf>
    <xf numFmtId="0" fontId="17" fillId="2" borderId="0" xfId="0" applyFont="1" applyFill="1" applyAlignment="1">
      <alignment horizontal="center" wrapText="1"/>
    </xf>
    <xf numFmtId="0" fontId="8" fillId="3" borderId="1" xfId="5" applyFont="1" applyFill="1" applyBorder="1" applyAlignment="1">
      <alignment horizontal="center" vertical="center" wrapText="1"/>
    </xf>
    <xf numFmtId="0" fontId="8" fillId="3" borderId="14" xfId="5" applyFont="1" applyFill="1" applyBorder="1" applyAlignment="1">
      <alignment horizontal="center" vertical="center" wrapText="1"/>
    </xf>
    <xf numFmtId="0" fontId="12" fillId="2" borderId="0" xfId="5" applyFont="1" applyFill="1" applyAlignment="1">
      <alignment horizontal="center" vertical="center" wrapText="1"/>
    </xf>
    <xf numFmtId="0" fontId="13" fillId="5" borderId="15" xfId="5" applyFont="1" applyFill="1" applyBorder="1" applyAlignment="1">
      <alignment horizontal="left" vertical="center"/>
    </xf>
    <xf numFmtId="0" fontId="13" fillId="5" borderId="16" xfId="5" applyFont="1" applyFill="1" applyBorder="1" applyAlignment="1">
      <alignment horizontal="left" vertical="center"/>
    </xf>
    <xf numFmtId="0" fontId="13" fillId="5" borderId="2" xfId="5" applyFont="1" applyFill="1" applyBorder="1" applyAlignment="1">
      <alignment horizontal="left" vertical="center"/>
    </xf>
    <xf numFmtId="0" fontId="12" fillId="2" borderId="0" xfId="5" applyFont="1" applyFill="1" applyAlignment="1">
      <alignment horizontal="left" vertical="center"/>
    </xf>
    <xf numFmtId="0" fontId="16" fillId="2" borderId="0" xfId="0" applyFont="1" applyFill="1" applyAlignment="1">
      <alignment vertical="top" wrapText="1"/>
    </xf>
    <xf numFmtId="0" fontId="17" fillId="2" borderId="17" xfId="0" applyFont="1" applyFill="1" applyBorder="1" applyAlignment="1">
      <alignment horizontal="center" vertical="center"/>
    </xf>
    <xf numFmtId="0" fontId="13" fillId="2" borderId="0" xfId="4" applyFont="1" applyFill="1"/>
    <xf numFmtId="0" fontId="3" fillId="2" borderId="0" xfId="4" applyFont="1" applyFill="1"/>
    <xf numFmtId="164" fontId="3" fillId="2" borderId="0" xfId="4" applyNumberFormat="1" applyFont="1" applyFill="1"/>
    <xf numFmtId="0" fontId="6" fillId="2" borderId="2" xfId="0" applyFont="1" applyFill="1" applyBorder="1" applyAlignment="1">
      <alignment horizontal="left"/>
    </xf>
    <xf numFmtId="0" fontId="3" fillId="2" borderId="2" xfId="0" applyFont="1" applyFill="1" applyBorder="1" applyAlignment="1">
      <alignment vertical="top"/>
    </xf>
    <xf numFmtId="0" fontId="6" fillId="2" borderId="1" xfId="0" applyFont="1" applyFill="1" applyBorder="1" applyAlignment="1">
      <alignment vertical="center"/>
    </xf>
    <xf numFmtId="0" fontId="7" fillId="2" borderId="2" xfId="0" applyFont="1" applyFill="1" applyBorder="1" applyAlignment="1">
      <alignment vertical="top"/>
    </xf>
    <xf numFmtId="0" fontId="7" fillId="2" borderId="0" xfId="4" applyFont="1" applyFill="1"/>
    <xf numFmtId="0" fontId="3" fillId="2" borderId="18" xfId="0" applyFont="1" applyFill="1" applyBorder="1"/>
    <xf numFmtId="0" fontId="8" fillId="3" borderId="19" xfId="0" applyFont="1" applyFill="1" applyBorder="1" applyAlignment="1">
      <alignment horizontal="center"/>
    </xf>
    <xf numFmtId="0" fontId="8" fillId="3" borderId="4" xfId="0" applyFont="1" applyFill="1" applyBorder="1" applyAlignment="1">
      <alignment horizontal="center"/>
    </xf>
    <xf numFmtId="0" fontId="8" fillId="3" borderId="4" xfId="0" applyFont="1" applyFill="1" applyBorder="1" applyAlignment="1">
      <alignment horizontal="center" wrapText="1"/>
    </xf>
    <xf numFmtId="0" fontId="8" fillId="3" borderId="12" xfId="0" applyFont="1" applyFill="1" applyBorder="1" applyAlignment="1">
      <alignment horizontal="center"/>
    </xf>
    <xf numFmtId="0" fontId="8" fillId="3" borderId="20" xfId="0" applyFont="1" applyFill="1" applyBorder="1" applyAlignment="1">
      <alignment horizontal="center" wrapText="1"/>
    </xf>
    <xf numFmtId="0" fontId="3" fillId="2" borderId="21" xfId="0" applyFont="1" applyFill="1" applyBorder="1" applyAlignment="1">
      <alignment horizontal="center"/>
    </xf>
    <xf numFmtId="0" fontId="3" fillId="2" borderId="7" xfId="0" applyFont="1" applyFill="1" applyBorder="1"/>
    <xf numFmtId="0" fontId="3" fillId="2" borderId="7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3" fillId="2" borderId="23" xfId="0" applyFont="1" applyFill="1" applyBorder="1" applyAlignment="1">
      <alignment horizontal="center"/>
    </xf>
    <xf numFmtId="0" fontId="19" fillId="3" borderId="24" xfId="0" applyFont="1" applyFill="1" applyBorder="1" applyAlignment="1">
      <alignment horizontal="center"/>
    </xf>
    <xf numFmtId="0" fontId="8" fillId="3" borderId="10" xfId="0" applyFont="1" applyFill="1" applyBorder="1"/>
    <xf numFmtId="0" fontId="19" fillId="3" borderId="10" xfId="0" applyFont="1" applyFill="1" applyBorder="1" applyAlignment="1">
      <alignment horizontal="center"/>
    </xf>
    <xf numFmtId="0" fontId="19" fillId="3" borderId="25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10" fontId="3" fillId="2" borderId="0" xfId="0" applyNumberFormat="1" applyFont="1" applyFill="1" applyAlignment="1">
      <alignment horizontal="center"/>
    </xf>
    <xf numFmtId="9" fontId="3" fillId="2" borderId="0" xfId="0" applyNumberFormat="1" applyFont="1" applyFill="1" applyAlignment="1">
      <alignment horizontal="center"/>
    </xf>
    <xf numFmtId="0" fontId="6" fillId="2" borderId="0" xfId="0" applyFont="1" applyFill="1" applyAlignment="1">
      <alignment horizontal="left"/>
    </xf>
    <xf numFmtId="2" fontId="20" fillId="2" borderId="0" xfId="0" applyNumberFormat="1" applyFont="1" applyFill="1" applyAlignment="1">
      <alignment horizontal="right" wrapText="1"/>
    </xf>
    <xf numFmtId="0" fontId="26" fillId="0" borderId="0" xfId="3" applyFont="1" applyAlignment="1">
      <alignment horizontal="center" vertical="center"/>
    </xf>
    <xf numFmtId="0" fontId="27" fillId="0" borderId="0" xfId="3" applyFont="1" applyAlignment="1">
      <alignment vertical="center"/>
    </xf>
    <xf numFmtId="0" fontId="27" fillId="0" borderId="0" xfId="3" applyFont="1" applyAlignment="1">
      <alignment horizontal="left" vertical="center" wrapText="1"/>
    </xf>
    <xf numFmtId="0" fontId="27" fillId="0" borderId="0" xfId="3" applyFont="1" applyAlignment="1">
      <alignment vertical="center" wrapText="1"/>
    </xf>
    <xf numFmtId="0" fontId="13" fillId="2" borderId="26" xfId="5" applyFont="1" applyFill="1" applyBorder="1" applyAlignment="1">
      <alignment horizontal="left" wrapText="1"/>
    </xf>
    <xf numFmtId="0" fontId="13" fillId="2" borderId="27" xfId="5" applyFont="1" applyFill="1" applyBorder="1" applyAlignment="1">
      <alignment horizontal="left" wrapText="1"/>
    </xf>
    <xf numFmtId="0" fontId="11" fillId="2" borderId="27" xfId="0" applyFont="1" applyFill="1" applyBorder="1" applyAlignment="1">
      <alignment horizontal="center" vertical="center"/>
    </xf>
    <xf numFmtId="0" fontId="11" fillId="2" borderId="28" xfId="0" applyFont="1" applyFill="1" applyBorder="1" applyAlignment="1">
      <alignment horizontal="center" vertical="center" wrapText="1"/>
    </xf>
    <xf numFmtId="0" fontId="11" fillId="2" borderId="28" xfId="0" applyFont="1" applyFill="1" applyBorder="1" applyAlignment="1">
      <alignment vertical="center" wrapText="1"/>
    </xf>
    <xf numFmtId="0" fontId="17" fillId="2" borderId="28" xfId="0" applyFont="1" applyFill="1" applyBorder="1" applyAlignment="1">
      <alignment horizontal="center" vertical="center"/>
    </xf>
    <xf numFmtId="0" fontId="17" fillId="2" borderId="28" xfId="0" applyFont="1" applyFill="1" applyBorder="1" applyAlignment="1">
      <alignment vertical="center" wrapText="1"/>
    </xf>
    <xf numFmtId="49" fontId="3" fillId="2" borderId="7" xfId="0" applyNumberFormat="1" applyFont="1" applyFill="1" applyBorder="1" applyAlignment="1">
      <alignment horizontal="left" vertical="center" wrapText="1"/>
    </xf>
    <xf numFmtId="0" fontId="3" fillId="2" borderId="1" xfId="5" applyFont="1" applyFill="1" applyBorder="1" applyAlignment="1">
      <alignment vertical="center" wrapText="1"/>
    </xf>
    <xf numFmtId="0" fontId="17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15" fillId="2" borderId="7" xfId="1" applyNumberFormat="1" applyFill="1" applyBorder="1" applyAlignment="1" applyProtection="1">
      <alignment horizontal="left" vertical="center"/>
    </xf>
    <xf numFmtId="0" fontId="7" fillId="2" borderId="1" xfId="0" applyFont="1" applyFill="1" applyBorder="1" applyAlignment="1">
      <alignment horizontal="left"/>
    </xf>
    <xf numFmtId="0" fontId="7" fillId="0" borderId="1" xfId="0" applyFont="1" applyBorder="1" applyAlignment="1">
      <alignment horizontal="left"/>
    </xf>
    <xf numFmtId="0" fontId="6" fillId="2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5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" fontId="6" fillId="2" borderId="1" xfId="0" applyNumberFormat="1" applyFont="1" applyFill="1" applyBorder="1" applyAlignment="1">
      <alignment vertical="center" wrapText="1"/>
    </xf>
    <xf numFmtId="0" fontId="7" fillId="2" borderId="1" xfId="0" applyFont="1" applyFill="1" applyBorder="1" applyAlignment="1">
      <alignment vertical="top" wrapText="1"/>
    </xf>
    <xf numFmtId="1" fontId="6" fillId="2" borderId="15" xfId="0" applyNumberFormat="1" applyFont="1" applyFill="1" applyBorder="1"/>
    <xf numFmtId="0" fontId="0" fillId="0" borderId="0" xfId="0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7" fillId="2" borderId="28" xfId="5" applyFont="1" applyFill="1" applyBorder="1" applyAlignment="1">
      <alignment horizontal="left" vertical="center" wrapText="1"/>
    </xf>
    <xf numFmtId="0" fontId="11" fillId="2" borderId="28" xfId="0" applyFont="1" applyFill="1" applyBorder="1" applyAlignment="1">
      <alignment horizontal="center" vertical="center" wrapText="1"/>
    </xf>
    <xf numFmtId="0" fontId="17" fillId="2" borderId="28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/>
    </xf>
    <xf numFmtId="0" fontId="7" fillId="2" borderId="1" xfId="4" applyFont="1" applyFill="1" applyBorder="1" applyAlignment="1">
      <alignment vertical="top"/>
    </xf>
    <xf numFmtId="0" fontId="5" fillId="2" borderId="0" xfId="4" applyFont="1" applyFill="1" applyAlignment="1">
      <alignment horizontal="center"/>
    </xf>
  </cellXfs>
  <cellStyles count="12">
    <cellStyle name="Hyperlink" xfId="1" builtinId="8"/>
    <cellStyle name="Hyperlink 2" xfId="9" xr:uid="{95175637-6F8E-453E-819E-7F47F0A1EC46}"/>
    <cellStyle name="Normal" xfId="0" builtinId="0"/>
    <cellStyle name="Normal 2" xfId="2" xr:uid="{AF438A5B-3922-4854-8B48-B0D38E22E64B}"/>
    <cellStyle name="Normal 2 2" xfId="10" xr:uid="{384784EB-4A2D-420D-A52F-2C7E7F97E837}"/>
    <cellStyle name="Normal 3" xfId="3" xr:uid="{E8EEB79D-80F5-41B9-BED9-7B057E224A0B}"/>
    <cellStyle name="Normal 3 2" xfId="11" xr:uid="{695C10A7-D052-40A5-8051-1D9E63B00561}"/>
    <cellStyle name="Normal 4" xfId="7" xr:uid="{0BA4C961-37AE-40D5-AE93-4BA31632E86D}"/>
    <cellStyle name="Normal 5" xfId="8" xr:uid="{415FB577-F726-4E69-960C-EFE04F905D9E}"/>
    <cellStyle name="Normal_Functional Test Case v1.0" xfId="4" xr:uid="{6EE42572-6850-4F79-9F76-6B8CF8AE12B6}"/>
    <cellStyle name="Normal_Sheet1" xfId="5" xr:uid="{F0E74A8D-EEAD-457A-9468-DF3EED810A87}"/>
    <cellStyle name="標準_結合試験(AllOvertheWorld)" xfId="6" xr:uid="{4ABE8B43-397B-4370-AFCE-DD97B87AE37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ntt15\Downloads\21130521-NguyenDucTai.xls" TargetMode="External"/><Relationship Id="rId1" Type="http://schemas.openxmlformats.org/officeDocument/2006/relationships/externalLinkPath" Target="/Users/ntt15/Downloads/21130521-NguyenDucTai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ver"/>
      <sheetName val="Test case List"/>
      <sheetName val="TestDesign"/>
      <sheetName val="Module1"/>
      <sheetName val="Module2"/>
      <sheetName val="Test Report"/>
    </sheetNames>
    <sheetDataSet>
      <sheetData sheetId="0"/>
      <sheetData sheetId="1"/>
      <sheetData sheetId="2"/>
      <sheetData sheetId="3">
        <row r="6">
          <cell r="B6">
            <v>0</v>
          </cell>
          <cell r="C6">
            <v>0</v>
          </cell>
          <cell r="D6">
            <v>0</v>
          </cell>
          <cell r="E6">
            <v>0</v>
          </cell>
        </row>
      </sheetData>
      <sheetData sheetId="4">
        <row r="6">
          <cell r="B6">
            <v>0</v>
          </cell>
          <cell r="C6">
            <v>0</v>
          </cell>
          <cell r="D6">
            <v>0</v>
          </cell>
          <cell r="E6">
            <v>0</v>
          </cell>
        </row>
      </sheetData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B9866-05F3-46AA-BBAD-43189D9DA13D}">
  <dimension ref="A2:G18"/>
  <sheetViews>
    <sheetView workbookViewId="0">
      <selection activeCell="G18" sqref="B11:G18"/>
    </sheetView>
  </sheetViews>
  <sheetFormatPr defaultRowHeight="12.75"/>
  <cols>
    <col min="1" max="1" width="2.25" style="1" customWidth="1"/>
    <col min="2" max="2" width="19.625" style="2" customWidth="1"/>
    <col min="3" max="3" width="9.25" style="1" customWidth="1"/>
    <col min="4" max="4" width="14.5" style="1" customWidth="1"/>
    <col min="5" max="5" width="19.625" style="1" customWidth="1"/>
    <col min="6" max="6" width="31.125" style="1" customWidth="1"/>
    <col min="7" max="7" width="31" style="1" customWidth="1"/>
    <col min="8" max="16384" width="9" style="1"/>
  </cols>
  <sheetData>
    <row r="2" spans="1:7" s="4" customFormat="1" ht="75.75" customHeight="1">
      <c r="A2" s="3"/>
      <c r="B2" s="123" t="s">
        <v>0</v>
      </c>
      <c r="C2" s="124"/>
      <c r="D2" s="124"/>
      <c r="E2" s="124"/>
      <c r="F2" s="124"/>
      <c r="G2" s="125"/>
    </row>
    <row r="3" spans="1:7">
      <c r="B3" s="5"/>
      <c r="C3" s="6"/>
      <c r="F3" s="7"/>
    </row>
    <row r="4" spans="1:7" ht="14.25" customHeight="1">
      <c r="B4" s="8" t="s">
        <v>1</v>
      </c>
      <c r="C4" s="119" t="s">
        <v>60</v>
      </c>
      <c r="D4" s="119"/>
      <c r="E4" s="119"/>
      <c r="F4" s="8" t="s">
        <v>2</v>
      </c>
      <c r="G4" s="9"/>
    </row>
    <row r="5" spans="1:7" ht="14.25" customHeight="1">
      <c r="B5" s="8" t="s">
        <v>3</v>
      </c>
      <c r="C5" s="120" t="s">
        <v>4</v>
      </c>
      <c r="D5" s="120"/>
      <c r="E5" s="120"/>
      <c r="F5" s="8" t="s">
        <v>5</v>
      </c>
      <c r="G5" s="9"/>
    </row>
    <row r="6" spans="1:7" ht="15.75" customHeight="1">
      <c r="B6" s="121" t="s">
        <v>6</v>
      </c>
      <c r="C6" s="122" t="str">
        <f>C5&amp;"_"&amp;"XXX"&amp;"_"&amp;"vx.x"</f>
        <v>&lt;Project Code&gt;_XXX_vx.x</v>
      </c>
      <c r="D6" s="122"/>
      <c r="E6" s="122"/>
      <c r="F6" s="8" t="s">
        <v>7</v>
      </c>
      <c r="G6" s="11"/>
    </row>
    <row r="7" spans="1:7" ht="13.5" customHeight="1">
      <c r="B7" s="121"/>
      <c r="C7" s="122"/>
      <c r="D7" s="122"/>
      <c r="E7" s="122"/>
      <c r="F7" s="8" t="s">
        <v>8</v>
      </c>
      <c r="G7" s="11"/>
    </row>
    <row r="8" spans="1:7">
      <c r="B8" s="12"/>
      <c r="C8" s="13"/>
      <c r="F8" s="5"/>
      <c r="G8" s="6"/>
    </row>
    <row r="10" spans="1:7">
      <c r="B10" s="14" t="s">
        <v>9</v>
      </c>
    </row>
    <row r="11" spans="1:7" s="15" customFormat="1">
      <c r="B11" s="16" t="s">
        <v>10</v>
      </c>
      <c r="C11" s="17" t="s">
        <v>8</v>
      </c>
      <c r="D11" s="17" t="s">
        <v>11</v>
      </c>
      <c r="E11" s="17" t="s">
        <v>12</v>
      </c>
      <c r="F11" s="17" t="s">
        <v>13</v>
      </c>
      <c r="G11" s="18" t="s">
        <v>14</v>
      </c>
    </row>
    <row r="12" spans="1:7" s="19" customFormat="1" ht="25.5">
      <c r="B12" s="20" t="s">
        <v>15</v>
      </c>
      <c r="C12" s="21"/>
      <c r="D12" s="22"/>
      <c r="E12" s="22"/>
      <c r="F12" s="23"/>
      <c r="G12" s="24" t="s">
        <v>47</v>
      </c>
    </row>
    <row r="13" spans="1:7" s="19" customFormat="1" ht="21.75" customHeight="1">
      <c r="B13" s="25"/>
      <c r="C13" s="21"/>
      <c r="D13" s="22"/>
      <c r="E13" s="22"/>
      <c r="F13" s="22"/>
      <c r="G13" s="26"/>
    </row>
    <row r="14" spans="1:7" s="19" customFormat="1" ht="19.5" customHeight="1">
      <c r="B14" s="25"/>
      <c r="C14" s="21"/>
      <c r="D14" s="22"/>
      <c r="E14" s="22"/>
      <c r="F14" s="22"/>
      <c r="G14" s="26"/>
    </row>
    <row r="15" spans="1:7" s="19" customFormat="1" ht="21.75" customHeight="1">
      <c r="B15" s="25"/>
      <c r="C15" s="21"/>
      <c r="D15" s="22"/>
      <c r="E15" s="22"/>
      <c r="F15" s="22"/>
      <c r="G15" s="26"/>
    </row>
    <row r="16" spans="1:7" s="19" customFormat="1" ht="19.5" customHeight="1">
      <c r="B16" s="25"/>
      <c r="C16" s="21"/>
      <c r="D16" s="22"/>
      <c r="E16" s="22"/>
      <c r="F16" s="22"/>
      <c r="G16" s="26"/>
    </row>
    <row r="17" spans="2:7" s="19" customFormat="1" ht="21.75" customHeight="1">
      <c r="B17" s="25"/>
      <c r="C17" s="21"/>
      <c r="D17" s="22"/>
      <c r="E17" s="22"/>
      <c r="F17" s="22"/>
      <c r="G17" s="26"/>
    </row>
    <row r="18" spans="2:7" s="19" customFormat="1" ht="19.5" customHeight="1">
      <c r="B18" s="27"/>
      <c r="C18" s="28"/>
      <c r="D18" s="29"/>
      <c r="E18" s="29"/>
      <c r="F18" s="29"/>
      <c r="G18" s="30"/>
    </row>
  </sheetData>
  <mergeCells count="5">
    <mergeCell ref="C4:E4"/>
    <mergeCell ref="C5:E5"/>
    <mergeCell ref="B6:B7"/>
    <mergeCell ref="C6:E7"/>
    <mergeCell ref="B2:G2"/>
  </mergeCells>
  <phoneticPr fontId="0" type="noConversion"/>
  <hyperlinks>
    <hyperlink ref="D16" location="Module2!B14" display="Module5" xr:uid="{70200F51-908C-48F3-A096-4E3163B19B36}"/>
  </hyperlinks>
  <pageMargins left="0.47013888888888888" right="0.47013888888888888" top="0.5" bottom="0.35138888888888886" header="0.51180555555555562" footer="0.1701388888888889"/>
  <pageSetup paperSize="9" firstPageNumber="0" orientation="landscape" horizontalDpi="300" verticalDpi="300" r:id="rId1"/>
  <headerFooter alignWithMargins="0">
    <oddFooter>&amp;L&amp;"Tahoma,Regular"&amp;8 02ae-BM/PM/HDCV/FSOFT v2/0&amp;C&amp;"Tahoma,Regular"&amp;8Internal use&amp;R&amp;"tahomaTahoma,Regular"&amp;8&amp;P/&amp;N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AEF82-9AAD-4DAC-A31C-E6C0A0D28CD4}">
  <dimension ref="B1:F21"/>
  <sheetViews>
    <sheetView workbookViewId="0">
      <selection activeCell="D10" sqref="D10"/>
    </sheetView>
  </sheetViews>
  <sheetFormatPr defaultRowHeight="12.75"/>
  <cols>
    <col min="1" max="1" width="1.375" style="7" customWidth="1"/>
    <col min="2" max="2" width="11.75" style="31" customWidth="1"/>
    <col min="3" max="3" width="34.125" style="32" customWidth="1"/>
    <col min="4" max="4" width="17.125" style="32" customWidth="1"/>
    <col min="5" max="5" width="28.125" style="32" customWidth="1"/>
    <col min="6" max="6" width="30.625" style="32" customWidth="1"/>
    <col min="7" max="16384" width="9" style="7"/>
  </cols>
  <sheetData>
    <row r="1" spans="2:6" ht="25.5">
      <c r="B1" s="33"/>
      <c r="D1" s="34" t="s">
        <v>16</v>
      </c>
      <c r="E1" s="35"/>
    </row>
    <row r="2" spans="2:6" ht="13.5" customHeight="1">
      <c r="B2" s="33"/>
      <c r="D2" s="36"/>
      <c r="E2" s="36"/>
    </row>
    <row r="3" spans="2:6">
      <c r="B3" s="128" t="s">
        <v>1</v>
      </c>
      <c r="C3" s="128"/>
      <c r="D3" s="119" t="s">
        <v>60</v>
      </c>
      <c r="E3" s="119"/>
      <c r="F3" s="119"/>
    </row>
    <row r="4" spans="2:6">
      <c r="B4" s="128" t="s">
        <v>3</v>
      </c>
      <c r="C4" s="128"/>
      <c r="D4" s="119" t="str">
        <f>Cover!C5</f>
        <v>&lt;Project Code&gt;</v>
      </c>
      <c r="E4" s="119"/>
      <c r="F4" s="119"/>
    </row>
    <row r="5" spans="2:6" s="37" customFormat="1" ht="84.75" customHeight="1">
      <c r="B5" s="126" t="s">
        <v>17</v>
      </c>
      <c r="C5" s="126"/>
      <c r="D5" s="127" t="s">
        <v>61</v>
      </c>
      <c r="E5" s="127"/>
      <c r="F5" s="127"/>
    </row>
    <row r="6" spans="2:6">
      <c r="B6" s="38"/>
      <c r="C6" s="7"/>
      <c r="D6" s="7"/>
      <c r="E6" s="7"/>
      <c r="F6" s="7"/>
    </row>
    <row r="7" spans="2:6" s="39" customFormat="1">
      <c r="B7" s="40"/>
      <c r="C7" s="41"/>
      <c r="D7" s="41"/>
      <c r="E7" s="41"/>
      <c r="F7" s="41"/>
    </row>
    <row r="8" spans="2:6" s="42" customFormat="1" ht="21" customHeight="1">
      <c r="B8" s="43" t="s">
        <v>18</v>
      </c>
      <c r="C8" s="44" t="s">
        <v>19</v>
      </c>
      <c r="D8" s="44" t="s">
        <v>20</v>
      </c>
      <c r="E8" s="45" t="s">
        <v>21</v>
      </c>
      <c r="F8" s="46" t="s">
        <v>22</v>
      </c>
    </row>
    <row r="9" spans="2:6" ht="13.5">
      <c r="B9" s="47">
        <v>1</v>
      </c>
      <c r="C9" s="114" t="s">
        <v>114</v>
      </c>
      <c r="D9" s="118" t="s">
        <v>209</v>
      </c>
      <c r="E9" s="49"/>
      <c r="F9" s="50"/>
    </row>
    <row r="10" spans="2:6" ht="13.5">
      <c r="B10" s="47">
        <v>2</v>
      </c>
      <c r="C10" s="48" t="s">
        <v>115</v>
      </c>
      <c r="D10" s="118" t="s">
        <v>208</v>
      </c>
      <c r="E10" s="49"/>
      <c r="F10" s="50"/>
    </row>
    <row r="11" spans="2:6">
      <c r="B11" s="47"/>
      <c r="C11" s="48"/>
      <c r="D11" s="49"/>
      <c r="E11" s="49"/>
      <c r="F11" s="50"/>
    </row>
    <row r="12" spans="2:6">
      <c r="B12" s="47"/>
      <c r="C12" s="48"/>
      <c r="D12" s="49"/>
      <c r="E12" s="49"/>
      <c r="F12" s="50"/>
    </row>
    <row r="13" spans="2:6">
      <c r="B13" s="47"/>
      <c r="C13" s="48"/>
      <c r="D13" s="49"/>
      <c r="E13" s="49"/>
      <c r="F13" s="50"/>
    </row>
    <row r="14" spans="2:6">
      <c r="B14" s="47"/>
      <c r="C14" s="48"/>
      <c r="D14" s="51"/>
      <c r="E14" s="51"/>
      <c r="F14" s="50"/>
    </row>
    <row r="15" spans="2:6">
      <c r="B15" s="47"/>
      <c r="C15" s="48"/>
      <c r="D15" s="51"/>
      <c r="E15" s="51"/>
      <c r="F15" s="50"/>
    </row>
    <row r="16" spans="2:6">
      <c r="B16" s="47"/>
      <c r="C16" s="48"/>
      <c r="D16" s="51"/>
      <c r="E16" s="51"/>
      <c r="F16" s="50"/>
    </row>
    <row r="17" spans="2:6">
      <c r="B17" s="47"/>
      <c r="C17" s="48"/>
      <c r="D17" s="51"/>
      <c r="E17" s="51"/>
      <c r="F17" s="50"/>
    </row>
    <row r="18" spans="2:6">
      <c r="B18" s="47"/>
      <c r="C18" s="48"/>
      <c r="D18" s="51"/>
      <c r="E18" s="51"/>
      <c r="F18" s="50"/>
    </row>
    <row r="19" spans="2:6">
      <c r="B19" s="47"/>
      <c r="C19" s="48"/>
      <c r="D19" s="51"/>
      <c r="E19" s="51"/>
      <c r="F19" s="50"/>
    </row>
    <row r="20" spans="2:6">
      <c r="B20" s="47"/>
      <c r="C20" s="48"/>
      <c r="D20" s="51"/>
      <c r="E20" s="51"/>
      <c r="F20" s="50"/>
    </row>
    <row r="21" spans="2:6">
      <c r="B21" s="52"/>
      <c r="C21" s="53"/>
      <c r="D21" s="54"/>
      <c r="E21" s="54"/>
      <c r="F21" s="55"/>
    </row>
  </sheetData>
  <mergeCells count="6">
    <mergeCell ref="B5:C5"/>
    <mergeCell ref="D5:F5"/>
    <mergeCell ref="B3:C3"/>
    <mergeCell ref="D3:F3"/>
    <mergeCell ref="B4:C4"/>
    <mergeCell ref="D4:F4"/>
  </mergeCells>
  <phoneticPr fontId="0" type="noConversion"/>
  <hyperlinks>
    <hyperlink ref="D9" location="Module04!A1" display="Module04" xr:uid="{4B40A108-7FDD-457C-853D-5717E4E33800}"/>
    <hyperlink ref="D10" location="Module14!A1" display="Module14" xr:uid="{4F4CBE7A-9627-4000-9137-0C64D270FF74}"/>
  </hyperlinks>
  <pageMargins left="0.74791666666666667" right="0.74791666666666667" top="0.98402777777777783" bottom="1.1506944444444445" header="0.51180555555555562" footer="0.98402777777777783"/>
  <pageSetup paperSize="9" firstPageNumber="0" orientation="landscape" horizontalDpi="300" verticalDpi="300" r:id="rId1"/>
  <headerFooter alignWithMargins="0">
    <oddFooter>&amp;L&amp;"Tahoma,Regular"&amp;8 02ae-BM/PM/HDCV/FSOFT v2/0&amp;C&amp;"tahoma,Regular"&amp;8Internal use&amp;R&amp;"tahoma,Regular"&amp;8&amp;P/&amp;N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1BDF9-0347-48BD-A798-2229416C2B2C}">
  <dimension ref="A1:F25"/>
  <sheetViews>
    <sheetView zoomScaleNormal="100" zoomScaleSheetLayoutView="100" workbookViewId="0">
      <selection activeCell="D8" sqref="D8"/>
    </sheetView>
  </sheetViews>
  <sheetFormatPr defaultColWidth="7.875" defaultRowHeight="12.75"/>
  <cols>
    <col min="1" max="1" width="21.875" style="105" customWidth="1"/>
    <col min="2" max="3" width="15.625" style="105" customWidth="1"/>
    <col min="4" max="4" width="52.5" style="106" customWidth="1"/>
    <col min="5" max="5" width="10.75" style="105" customWidth="1"/>
    <col min="6" max="6" width="29.375" style="106" customWidth="1"/>
    <col min="7" max="16384" width="7.875" style="104"/>
  </cols>
  <sheetData>
    <row r="1" spans="1:6" s="103" customFormat="1" ht="25.5">
      <c r="A1" s="66" t="s">
        <v>48</v>
      </c>
      <c r="B1" s="66" t="s">
        <v>49</v>
      </c>
      <c r="C1" s="66" t="s">
        <v>50</v>
      </c>
      <c r="D1" s="66" t="s">
        <v>51</v>
      </c>
      <c r="E1" s="66" t="s">
        <v>52</v>
      </c>
      <c r="F1" s="66" t="s">
        <v>38</v>
      </c>
    </row>
    <row r="2" spans="1:6" ht="13.5">
      <c r="A2" s="130" t="s">
        <v>205</v>
      </c>
      <c r="B2" t="s">
        <v>121</v>
      </c>
      <c r="C2" t="s">
        <v>122</v>
      </c>
      <c r="D2" t="s">
        <v>123</v>
      </c>
      <c r="E2" t="s">
        <v>53</v>
      </c>
      <c r="F2" t="s">
        <v>124</v>
      </c>
    </row>
    <row r="3" spans="1:6" ht="13.5">
      <c r="A3" s="129"/>
      <c r="B3" t="s">
        <v>121</v>
      </c>
      <c r="C3" t="s">
        <v>125</v>
      </c>
      <c r="D3" t="s">
        <v>126</v>
      </c>
      <c r="E3" t="s">
        <v>54</v>
      </c>
      <c r="F3" t="s">
        <v>127</v>
      </c>
    </row>
    <row r="4" spans="1:6" ht="13.5">
      <c r="A4" s="129"/>
      <c r="B4" t="s">
        <v>121</v>
      </c>
      <c r="C4" t="s">
        <v>128</v>
      </c>
      <c r="D4" t="s">
        <v>129</v>
      </c>
      <c r="E4" t="s">
        <v>53</v>
      </c>
      <c r="F4" t="s">
        <v>130</v>
      </c>
    </row>
    <row r="5" spans="1:6" ht="13.5">
      <c r="A5" s="129"/>
      <c r="B5" t="s">
        <v>131</v>
      </c>
      <c r="C5" t="s">
        <v>132</v>
      </c>
      <c r="D5" t="s">
        <v>133</v>
      </c>
      <c r="E5" t="s">
        <v>134</v>
      </c>
      <c r="F5" t="s">
        <v>135</v>
      </c>
    </row>
    <row r="6" spans="1:6" ht="13.5">
      <c r="A6" s="129"/>
      <c r="B6" t="s">
        <v>131</v>
      </c>
      <c r="C6" t="s">
        <v>136</v>
      </c>
      <c r="D6" t="s">
        <v>137</v>
      </c>
      <c r="E6" t="s">
        <v>53</v>
      </c>
      <c r="F6" t="s">
        <v>138</v>
      </c>
    </row>
    <row r="7" spans="1:6" ht="13.5">
      <c r="A7" s="129"/>
      <c r="B7" t="s">
        <v>139</v>
      </c>
      <c r="C7" t="s">
        <v>140</v>
      </c>
      <c r="D7" t="s">
        <v>141</v>
      </c>
      <c r="E7" t="s">
        <v>53</v>
      </c>
      <c r="F7" t="s">
        <v>142</v>
      </c>
    </row>
    <row r="8" spans="1:6" ht="13.5">
      <c r="A8" s="129"/>
      <c r="B8" t="s">
        <v>143</v>
      </c>
      <c r="C8" t="s">
        <v>144</v>
      </c>
      <c r="D8" t="s">
        <v>145</v>
      </c>
      <c r="E8" t="s">
        <v>54</v>
      </c>
      <c r="F8" t="s">
        <v>146</v>
      </c>
    </row>
    <row r="9" spans="1:6" ht="13.5">
      <c r="A9" s="129"/>
      <c r="B9" t="s">
        <v>143</v>
      </c>
      <c r="C9" t="s">
        <v>121</v>
      </c>
      <c r="D9" t="s">
        <v>147</v>
      </c>
      <c r="E9" t="s">
        <v>53</v>
      </c>
      <c r="F9" t="s">
        <v>148</v>
      </c>
    </row>
    <row r="10" spans="1:6" ht="13.5">
      <c r="A10" s="129"/>
      <c r="B10" t="s">
        <v>149</v>
      </c>
      <c r="C10" t="s">
        <v>150</v>
      </c>
      <c r="D10" t="s">
        <v>151</v>
      </c>
      <c r="E10" t="s">
        <v>53</v>
      </c>
      <c r="F10" t="s">
        <v>152</v>
      </c>
    </row>
    <row r="11" spans="1:6" ht="13.5">
      <c r="A11" s="129"/>
      <c r="B11" t="s">
        <v>149</v>
      </c>
      <c r="C11" t="s">
        <v>153</v>
      </c>
      <c r="D11" t="s">
        <v>154</v>
      </c>
      <c r="E11" t="s">
        <v>54</v>
      </c>
      <c r="F11" t="s">
        <v>155</v>
      </c>
    </row>
    <row r="12" spans="1:6" ht="13.5">
      <c r="A12" s="129"/>
      <c r="B12" t="s">
        <v>156</v>
      </c>
      <c r="C12" t="s">
        <v>157</v>
      </c>
      <c r="D12" t="s">
        <v>158</v>
      </c>
      <c r="E12" t="s">
        <v>53</v>
      </c>
      <c r="F12" t="s">
        <v>159</v>
      </c>
    </row>
    <row r="13" spans="1:6" ht="13.5">
      <c r="A13" s="129"/>
      <c r="B13" t="s">
        <v>156</v>
      </c>
      <c r="C13" t="s">
        <v>121</v>
      </c>
      <c r="D13" t="s">
        <v>160</v>
      </c>
      <c r="E13" t="s">
        <v>53</v>
      </c>
      <c r="F13" t="s">
        <v>161</v>
      </c>
    </row>
    <row r="14" spans="1:6" ht="13.5">
      <c r="A14" s="129" t="s">
        <v>206</v>
      </c>
      <c r="B14" t="s">
        <v>162</v>
      </c>
      <c r="C14" t="s">
        <v>163</v>
      </c>
      <c r="D14" t="s">
        <v>164</v>
      </c>
      <c r="E14" t="s">
        <v>165</v>
      </c>
      <c r="F14" t="s">
        <v>166</v>
      </c>
    </row>
    <row r="15" spans="1:6" ht="13.5">
      <c r="A15" s="129"/>
      <c r="B15" t="s">
        <v>162</v>
      </c>
      <c r="C15" t="s">
        <v>167</v>
      </c>
      <c r="D15" t="s">
        <v>168</v>
      </c>
      <c r="E15" t="s">
        <v>54</v>
      </c>
      <c r="F15" t="s">
        <v>169</v>
      </c>
    </row>
    <row r="16" spans="1:6" ht="13.5">
      <c r="A16" s="129"/>
      <c r="B16" t="s">
        <v>162</v>
      </c>
      <c r="C16" t="s">
        <v>170</v>
      </c>
      <c r="D16" t="s">
        <v>171</v>
      </c>
      <c r="E16" t="s">
        <v>54</v>
      </c>
      <c r="F16" t="s">
        <v>172</v>
      </c>
    </row>
    <row r="17" spans="1:6" ht="13.5">
      <c r="A17" s="129"/>
      <c r="B17" t="s">
        <v>197</v>
      </c>
      <c r="C17" t="s">
        <v>198</v>
      </c>
      <c r="D17" t="s">
        <v>203</v>
      </c>
      <c r="E17" t="s">
        <v>53</v>
      </c>
      <c r="F17" t="s">
        <v>199</v>
      </c>
    </row>
    <row r="18" spans="1:6" ht="13.5">
      <c r="A18" s="129"/>
      <c r="B18" t="s">
        <v>200</v>
      </c>
      <c r="C18" t="s">
        <v>201</v>
      </c>
      <c r="D18" t="s">
        <v>202</v>
      </c>
      <c r="E18" t="s">
        <v>53</v>
      </c>
      <c r="F18" t="s">
        <v>204</v>
      </c>
    </row>
    <row r="19" spans="1:6" ht="13.5">
      <c r="A19" s="129"/>
      <c r="B19" t="s">
        <v>173</v>
      </c>
      <c r="C19" t="s">
        <v>174</v>
      </c>
      <c r="D19" t="s">
        <v>175</v>
      </c>
      <c r="E19" t="s">
        <v>53</v>
      </c>
      <c r="F19" t="s">
        <v>176</v>
      </c>
    </row>
    <row r="20" spans="1:6" ht="13.5">
      <c r="A20" s="129"/>
      <c r="B20" t="s">
        <v>173</v>
      </c>
      <c r="C20" t="s">
        <v>177</v>
      </c>
      <c r="D20" t="s">
        <v>178</v>
      </c>
      <c r="E20" t="s">
        <v>54</v>
      </c>
      <c r="F20" t="s">
        <v>179</v>
      </c>
    </row>
    <row r="21" spans="1:6" ht="13.5">
      <c r="A21" s="129"/>
      <c r="B21" t="s">
        <v>180</v>
      </c>
      <c r="C21" t="s">
        <v>181</v>
      </c>
      <c r="D21" t="s">
        <v>182</v>
      </c>
      <c r="E21" t="s">
        <v>53</v>
      </c>
      <c r="F21" t="s">
        <v>183</v>
      </c>
    </row>
    <row r="22" spans="1:6" ht="13.5">
      <c r="A22" s="129"/>
      <c r="B22" t="s">
        <v>184</v>
      </c>
      <c r="C22" t="s">
        <v>157</v>
      </c>
      <c r="D22" t="s">
        <v>185</v>
      </c>
      <c r="E22" t="s">
        <v>134</v>
      </c>
      <c r="F22" t="s">
        <v>186</v>
      </c>
    </row>
    <row r="23" spans="1:6" ht="13.5">
      <c r="A23" s="129"/>
      <c r="B23" t="s">
        <v>184</v>
      </c>
      <c r="C23" t="s">
        <v>187</v>
      </c>
      <c r="D23" t="s">
        <v>188</v>
      </c>
      <c r="E23" t="s">
        <v>53</v>
      </c>
      <c r="F23" t="s">
        <v>189</v>
      </c>
    </row>
    <row r="24" spans="1:6" ht="13.5">
      <c r="A24" s="129"/>
      <c r="B24" t="s">
        <v>190</v>
      </c>
      <c r="C24" t="s">
        <v>191</v>
      </c>
      <c r="D24" t="s">
        <v>192</v>
      </c>
      <c r="E24" t="s">
        <v>53</v>
      </c>
      <c r="F24" t="s">
        <v>193</v>
      </c>
    </row>
    <row r="25" spans="1:6" ht="13.5">
      <c r="A25" s="129"/>
      <c r="B25" t="s">
        <v>190</v>
      </c>
      <c r="C25" t="s">
        <v>194</v>
      </c>
      <c r="D25" t="s">
        <v>195</v>
      </c>
      <c r="E25" t="s">
        <v>53</v>
      </c>
      <c r="F25" t="s">
        <v>196</v>
      </c>
    </row>
  </sheetData>
  <autoFilter ref="A1:F15" xr:uid="{98416A91-A0ED-4DA9-B892-E8B83DBB2D3B}"/>
  <mergeCells count="2">
    <mergeCell ref="A14:A25"/>
    <mergeCell ref="A2:A13"/>
  </mergeCells>
  <pageMargins left="0.39370078740157483" right="0.39370078740157483" top="0.39370078740157483" bottom="0.39370078740157483" header="0.19685039370078741" footer="0.19685039370078741"/>
  <pageSetup paperSize="9" scale="93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BC9DA-44A1-46F3-93A4-894435B951B1}">
  <dimension ref="A1:J15"/>
  <sheetViews>
    <sheetView workbookViewId="0">
      <pane ySplit="8" topLeftCell="A9" activePane="bottomLeft" state="frozen"/>
      <selection pane="bottomLeft" activeCell="H14" sqref="H14"/>
    </sheetView>
  </sheetViews>
  <sheetFormatPr defaultRowHeight="12.75"/>
  <cols>
    <col min="1" max="1" width="11.75" style="7" customWidth="1"/>
    <col min="2" max="2" width="29" style="7" customWidth="1"/>
    <col min="3" max="3" width="46.25" style="7" customWidth="1"/>
    <col min="4" max="4" width="53.25" style="7" customWidth="1"/>
    <col min="5" max="5" width="16.875" style="7" customWidth="1"/>
    <col min="6" max="6" width="7.125" style="7" customWidth="1"/>
    <col min="7" max="7" width="9" style="7"/>
    <col min="8" max="8" width="17.625" style="7" customWidth="1"/>
    <col min="9" max="9" width="8.25" style="56" customWidth="1"/>
    <col min="10" max="10" width="0" style="7" hidden="1" customWidth="1"/>
    <col min="11" max="16384" width="9" style="7"/>
  </cols>
  <sheetData>
    <row r="1" spans="1:10" s="62" customFormat="1" ht="13.5" thickBot="1">
      <c r="A1" s="57"/>
      <c r="B1" s="58"/>
      <c r="C1" s="58"/>
      <c r="D1" s="58"/>
      <c r="E1" s="58"/>
      <c r="F1" s="59"/>
      <c r="G1" s="60"/>
      <c r="H1" s="37"/>
      <c r="I1" s="61"/>
    </row>
    <row r="2" spans="1:10" s="62" customFormat="1" ht="15" customHeight="1">
      <c r="A2" s="107" t="s">
        <v>24</v>
      </c>
      <c r="B2" s="131" t="s">
        <v>112</v>
      </c>
      <c r="C2" s="131"/>
      <c r="D2" s="131"/>
      <c r="E2" s="131"/>
      <c r="F2" s="131"/>
      <c r="G2" s="131"/>
      <c r="H2" s="131"/>
      <c r="I2" s="61"/>
      <c r="J2" s="62" t="s">
        <v>55</v>
      </c>
    </row>
    <row r="3" spans="1:10" s="62" customFormat="1" ht="25.5" customHeight="1">
      <c r="A3" s="108" t="s">
        <v>26</v>
      </c>
      <c r="B3" s="131" t="s">
        <v>59</v>
      </c>
      <c r="C3" s="131"/>
      <c r="D3" s="131"/>
      <c r="E3" s="131"/>
      <c r="F3" s="131"/>
      <c r="G3" s="131"/>
      <c r="H3" s="131"/>
      <c r="I3" s="61"/>
      <c r="J3" s="62" t="s">
        <v>56</v>
      </c>
    </row>
    <row r="4" spans="1:10" s="62" customFormat="1" ht="18" customHeight="1">
      <c r="A4" s="107" t="s">
        <v>28</v>
      </c>
      <c r="B4" s="131" t="s">
        <v>111</v>
      </c>
      <c r="C4" s="131"/>
      <c r="D4" s="131"/>
      <c r="E4" s="131"/>
      <c r="F4" s="131"/>
      <c r="G4" s="131"/>
      <c r="H4" s="131"/>
      <c r="I4" s="61"/>
      <c r="J4" s="62" t="s">
        <v>57</v>
      </c>
    </row>
    <row r="5" spans="1:10" s="62" customFormat="1" ht="19.5" customHeight="1">
      <c r="A5" s="109" t="s">
        <v>55</v>
      </c>
      <c r="B5" s="110" t="s">
        <v>56</v>
      </c>
      <c r="C5" s="110" t="s">
        <v>29</v>
      </c>
      <c r="D5" s="110" t="s">
        <v>57</v>
      </c>
      <c r="E5" s="111" t="s">
        <v>58</v>
      </c>
      <c r="F5" s="132" t="s">
        <v>30</v>
      </c>
      <c r="G5" s="132"/>
      <c r="H5" s="132"/>
      <c r="I5" s="64"/>
      <c r="J5" s="62" t="s">
        <v>29</v>
      </c>
    </row>
    <row r="6" spans="1:10" s="62" customFormat="1" ht="15" customHeight="1" thickBot="1">
      <c r="A6" s="74">
        <f>COUNTIF(F9:F993,"Passed")</f>
        <v>6</v>
      </c>
      <c r="B6" s="112">
        <f>COUNTIF(F9:F993,"Failed")</f>
        <v>0</v>
      </c>
      <c r="C6" s="112">
        <f>F6-E6-D6-B6-A6</f>
        <v>0</v>
      </c>
      <c r="D6" s="112">
        <f>COUNTIF(F$9:F$993,"Blocked")</f>
        <v>0</v>
      </c>
      <c r="E6" s="113">
        <f>COUNTIF(F$9:F$993,"Skipped")</f>
        <v>0</v>
      </c>
      <c r="F6" s="133">
        <f>COUNTA(A9:A993)</f>
        <v>6</v>
      </c>
      <c r="G6" s="133"/>
      <c r="H6" s="133"/>
      <c r="I6" s="64"/>
      <c r="J6" s="62" t="s">
        <v>58</v>
      </c>
    </row>
    <row r="7" spans="1:10" s="62" customFormat="1" ht="15" customHeight="1">
      <c r="D7" s="65"/>
      <c r="E7" s="65"/>
      <c r="F7" s="63"/>
      <c r="G7" s="63"/>
      <c r="H7" s="63"/>
      <c r="I7" s="64"/>
    </row>
    <row r="8" spans="1:10" s="62" customFormat="1" ht="25.5" customHeight="1">
      <c r="A8" s="66" t="s">
        <v>31</v>
      </c>
      <c r="B8" s="66" t="s">
        <v>32</v>
      </c>
      <c r="C8" s="66" t="s">
        <v>33</v>
      </c>
      <c r="D8" s="66" t="s">
        <v>34</v>
      </c>
      <c r="E8" s="67" t="s">
        <v>35</v>
      </c>
      <c r="F8" s="67" t="s">
        <v>36</v>
      </c>
      <c r="G8" s="67" t="s">
        <v>37</v>
      </c>
      <c r="H8" s="66" t="s">
        <v>38</v>
      </c>
      <c r="I8" s="68"/>
    </row>
    <row r="9" spans="1:10" s="62" customFormat="1" ht="15.75" customHeight="1">
      <c r="A9" s="69"/>
      <c r="B9" s="69" t="s">
        <v>23</v>
      </c>
      <c r="C9" s="70"/>
      <c r="D9" s="70"/>
      <c r="E9" s="70"/>
      <c r="F9" s="70"/>
      <c r="G9" s="70"/>
      <c r="H9" s="71"/>
      <c r="I9" s="72"/>
    </row>
    <row r="10" spans="1:10" ht="51">
      <c r="A10" s="115" t="s">
        <v>62</v>
      </c>
      <c r="B10" s="115" t="s">
        <v>63</v>
      </c>
      <c r="C10" s="115" t="s">
        <v>64</v>
      </c>
      <c r="D10" s="116" t="s">
        <v>65</v>
      </c>
      <c r="E10" s="116"/>
      <c r="F10" s="115" t="s">
        <v>55</v>
      </c>
      <c r="G10" s="115" t="s">
        <v>120</v>
      </c>
      <c r="H10" s="117"/>
      <c r="I10" s="73"/>
    </row>
    <row r="11" spans="1:10" ht="63.75">
      <c r="A11" s="115" t="s">
        <v>66</v>
      </c>
      <c r="B11" s="115" t="s">
        <v>67</v>
      </c>
      <c r="C11" s="115" t="s">
        <v>68</v>
      </c>
      <c r="D11" s="116" t="s">
        <v>69</v>
      </c>
      <c r="E11" s="116"/>
      <c r="F11" s="115" t="s">
        <v>55</v>
      </c>
      <c r="G11" s="115" t="s">
        <v>120</v>
      </c>
      <c r="H11" s="117"/>
      <c r="I11" s="73"/>
    </row>
    <row r="12" spans="1:10" ht="38.25">
      <c r="A12" s="115" t="s">
        <v>70</v>
      </c>
      <c r="B12" s="115" t="s">
        <v>71</v>
      </c>
      <c r="C12" s="115" t="s">
        <v>72</v>
      </c>
      <c r="D12" s="116" t="s">
        <v>73</v>
      </c>
      <c r="E12" s="116"/>
      <c r="F12" s="115" t="s">
        <v>55</v>
      </c>
      <c r="G12" s="115" t="s">
        <v>120</v>
      </c>
      <c r="H12" s="117"/>
      <c r="I12" s="73"/>
    </row>
    <row r="13" spans="1:10" ht="38.25">
      <c r="A13" s="115" t="s">
        <v>74</v>
      </c>
      <c r="B13" s="115" t="s">
        <v>75</v>
      </c>
      <c r="C13" s="115" t="s">
        <v>76</v>
      </c>
      <c r="D13" s="116" t="s">
        <v>77</v>
      </c>
      <c r="E13" s="116"/>
      <c r="F13" s="115" t="s">
        <v>55</v>
      </c>
      <c r="G13" s="115" t="s">
        <v>120</v>
      </c>
      <c r="H13" s="117"/>
      <c r="I13" s="73"/>
    </row>
    <row r="14" spans="1:10" ht="51">
      <c r="A14" s="115" t="s">
        <v>78</v>
      </c>
      <c r="B14" s="115" t="s">
        <v>79</v>
      </c>
      <c r="C14" s="115" t="s">
        <v>80</v>
      </c>
      <c r="D14" s="116" t="s">
        <v>81</v>
      </c>
      <c r="E14" s="116"/>
      <c r="F14" s="115" t="s">
        <v>55</v>
      </c>
      <c r="G14" s="115" t="s">
        <v>120</v>
      </c>
      <c r="H14" s="117"/>
      <c r="I14" s="73"/>
    </row>
    <row r="15" spans="1:10" ht="38.25">
      <c r="A15" s="115" t="s">
        <v>82</v>
      </c>
      <c r="B15" s="115" t="s">
        <v>83</v>
      </c>
      <c r="C15" s="115" t="s">
        <v>84</v>
      </c>
      <c r="D15" s="116" t="s">
        <v>85</v>
      </c>
      <c r="E15" s="116"/>
      <c r="F15" s="115" t="s">
        <v>55</v>
      </c>
      <c r="G15" s="115" t="s">
        <v>120</v>
      </c>
      <c r="H15" s="117"/>
      <c r="I15" s="73"/>
    </row>
  </sheetData>
  <mergeCells count="5">
    <mergeCell ref="B2:H2"/>
    <mergeCell ref="B3:H3"/>
    <mergeCell ref="B4:H4"/>
    <mergeCell ref="F5:H5"/>
    <mergeCell ref="F6:H6"/>
  </mergeCells>
  <phoneticPr fontId="28" type="noConversion"/>
  <dataValidations count="1">
    <dataValidation type="list" allowBlank="1" showErrorMessage="1" sqref="F1 F7:F142" xr:uid="{3C3779D3-2137-43F1-8BC3-BF1168BA2FD2}">
      <formula1>$J$2:$J$6</formula1>
      <formula2>0</formula2>
    </dataValidation>
  </dataValidations>
  <pageMargins left="0.74791666666666667" right="0.25" top="0.75" bottom="0.98402777777777772" header="0.5" footer="0.5"/>
  <pageSetup paperSize="9" firstPageNumber="0" orientation="landscape" horizontalDpi="300" verticalDpi="300" r:id="rId1"/>
  <headerFooter alignWithMargins="0">
    <oddHeader>&amp;LFacilitate_Test Case\Company&amp;Rv1.0</oddHeader>
    <oddFooter>&amp;L&amp;"Tahoma,Regular"&amp;8 02ae-BM/PM/HDCV/FSOFT v2/0&amp;C&amp;"Tahoma,Regular"&amp;10Internal use&amp;R&amp;"tahoma,Regular"&amp;8&amp;P/&amp;N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BDD20-D8D9-437C-873A-9127FDD68979}">
  <dimension ref="A1:J16"/>
  <sheetViews>
    <sheetView tabSelected="1" workbookViewId="0">
      <pane ySplit="8" topLeftCell="A10" activePane="bottomLeft" state="frozen"/>
      <selection pane="bottomLeft" activeCell="G10" sqref="G10:G16"/>
    </sheetView>
  </sheetViews>
  <sheetFormatPr defaultRowHeight="12.75"/>
  <cols>
    <col min="1" max="1" width="11.75" style="7" customWidth="1"/>
    <col min="2" max="2" width="29" style="7" customWidth="1"/>
    <col min="3" max="3" width="38.375" style="7" customWidth="1"/>
    <col min="4" max="4" width="44.375" style="7" customWidth="1"/>
    <col min="5" max="5" width="16.875" style="7" customWidth="1"/>
    <col min="6" max="6" width="7.125" style="7" customWidth="1"/>
    <col min="7" max="7" width="9" style="7"/>
    <col min="8" max="8" width="17.625" style="7" customWidth="1"/>
    <col min="9" max="9" width="8.25" style="56" customWidth="1"/>
    <col min="10" max="10" width="0" style="7" hidden="1" customWidth="1"/>
    <col min="11" max="16384" width="9" style="7"/>
  </cols>
  <sheetData>
    <row r="1" spans="1:10" s="62" customFormat="1" ht="13.5" thickBot="1">
      <c r="A1" s="57"/>
      <c r="B1" s="58"/>
      <c r="C1" s="58"/>
      <c r="D1" s="58"/>
      <c r="E1" s="58"/>
      <c r="F1" s="59"/>
      <c r="G1" s="60"/>
      <c r="H1" s="37"/>
      <c r="I1" s="61"/>
    </row>
    <row r="2" spans="1:10" s="62" customFormat="1" ht="15" customHeight="1">
      <c r="A2" s="107" t="s">
        <v>24</v>
      </c>
      <c r="B2" s="131" t="s">
        <v>113</v>
      </c>
      <c r="C2" s="131"/>
      <c r="D2" s="131"/>
      <c r="E2" s="131"/>
      <c r="F2" s="131"/>
      <c r="G2" s="131"/>
      <c r="H2" s="131"/>
      <c r="I2" s="61"/>
      <c r="J2" s="62" t="s">
        <v>55</v>
      </c>
    </row>
    <row r="3" spans="1:10" s="62" customFormat="1" ht="25.5" customHeight="1">
      <c r="A3" s="108" t="s">
        <v>26</v>
      </c>
      <c r="B3" s="131" t="s">
        <v>59</v>
      </c>
      <c r="C3" s="131"/>
      <c r="D3" s="131"/>
      <c r="E3" s="131"/>
      <c r="F3" s="131"/>
      <c r="G3" s="131"/>
      <c r="H3" s="131"/>
      <c r="I3" s="61"/>
      <c r="J3" s="62" t="s">
        <v>56</v>
      </c>
    </row>
    <row r="4" spans="1:10" s="62" customFormat="1" ht="18" customHeight="1">
      <c r="A4" s="107" t="s">
        <v>28</v>
      </c>
      <c r="B4" s="131" t="s">
        <v>111</v>
      </c>
      <c r="C4" s="131"/>
      <c r="D4" s="131"/>
      <c r="E4" s="131"/>
      <c r="F4" s="131"/>
      <c r="G4" s="131"/>
      <c r="H4" s="131"/>
      <c r="I4" s="61"/>
      <c r="J4" s="62" t="s">
        <v>57</v>
      </c>
    </row>
    <row r="5" spans="1:10" s="62" customFormat="1" ht="19.5" customHeight="1">
      <c r="A5" s="109" t="s">
        <v>55</v>
      </c>
      <c r="B5" s="110" t="s">
        <v>56</v>
      </c>
      <c r="C5" s="110" t="s">
        <v>29</v>
      </c>
      <c r="D5" s="110" t="s">
        <v>57</v>
      </c>
      <c r="E5" s="111" t="s">
        <v>58</v>
      </c>
      <c r="F5" s="132" t="s">
        <v>30</v>
      </c>
      <c r="G5" s="132"/>
      <c r="H5" s="132"/>
      <c r="I5" s="64"/>
      <c r="J5" s="62" t="s">
        <v>29</v>
      </c>
    </row>
    <row r="6" spans="1:10" s="62" customFormat="1" ht="15" customHeight="1" thickBot="1">
      <c r="A6" s="74">
        <f>COUNTIF(F9:F992,"Passed")</f>
        <v>6</v>
      </c>
      <c r="B6" s="112">
        <f>COUNTIF(F9:F992,"Failed")</f>
        <v>1</v>
      </c>
      <c r="C6" s="112">
        <f>F6-E6-D6-B6-A6</f>
        <v>0</v>
      </c>
      <c r="D6" s="112">
        <f>COUNTIF(F$9:F$992,"Blocked")</f>
        <v>0</v>
      </c>
      <c r="E6" s="113">
        <f>COUNTIF(F$9:F$992,"Skipped")</f>
        <v>0</v>
      </c>
      <c r="F6" s="133">
        <f>COUNTA(A9:A992)</f>
        <v>7</v>
      </c>
      <c r="G6" s="133"/>
      <c r="H6" s="133"/>
      <c r="I6" s="64"/>
      <c r="J6" s="62" t="s">
        <v>58</v>
      </c>
    </row>
    <row r="7" spans="1:10" s="62" customFormat="1" ht="15" customHeight="1">
      <c r="D7" s="65"/>
      <c r="E7" s="65"/>
      <c r="F7" s="63"/>
      <c r="G7" s="63"/>
      <c r="H7" s="63"/>
      <c r="I7" s="64"/>
    </row>
    <row r="8" spans="1:10" s="62" customFormat="1" ht="25.5" customHeight="1">
      <c r="A8" s="66" t="s">
        <v>31</v>
      </c>
      <c r="B8" s="66" t="s">
        <v>32</v>
      </c>
      <c r="C8" s="66" t="s">
        <v>33</v>
      </c>
      <c r="D8" s="66" t="s">
        <v>34</v>
      </c>
      <c r="E8" s="67" t="s">
        <v>35</v>
      </c>
      <c r="F8" s="67" t="s">
        <v>36</v>
      </c>
      <c r="G8" s="67" t="s">
        <v>37</v>
      </c>
      <c r="H8" s="66" t="s">
        <v>38</v>
      </c>
      <c r="I8" s="68"/>
    </row>
    <row r="9" spans="1:10" s="62" customFormat="1" ht="15.75" customHeight="1">
      <c r="A9" s="69"/>
      <c r="B9" s="69" t="s">
        <v>23</v>
      </c>
      <c r="C9" s="70"/>
      <c r="D9" s="70"/>
      <c r="E9" s="70"/>
      <c r="F9" s="70"/>
      <c r="G9" s="70"/>
      <c r="H9" s="71"/>
      <c r="I9" s="72"/>
    </row>
    <row r="10" spans="1:10" ht="51">
      <c r="A10" s="115" t="s">
        <v>86</v>
      </c>
      <c r="B10" s="115" t="s">
        <v>87</v>
      </c>
      <c r="C10" s="115" t="s">
        <v>88</v>
      </c>
      <c r="D10" s="116" t="s">
        <v>89</v>
      </c>
      <c r="E10" s="116"/>
      <c r="F10" s="115" t="s">
        <v>55</v>
      </c>
      <c r="G10" s="115" t="s">
        <v>119</v>
      </c>
      <c r="H10" s="117"/>
      <c r="I10" s="73"/>
    </row>
    <row r="11" spans="1:10" ht="25.5">
      <c r="A11" s="115" t="s">
        <v>90</v>
      </c>
      <c r="B11" s="115" t="s">
        <v>91</v>
      </c>
      <c r="C11" s="115" t="s">
        <v>116</v>
      </c>
      <c r="D11" s="116" t="s">
        <v>117</v>
      </c>
      <c r="E11" s="116"/>
      <c r="F11" s="115" t="s">
        <v>55</v>
      </c>
      <c r="G11" s="115" t="s">
        <v>119</v>
      </c>
      <c r="H11" s="117"/>
      <c r="I11" s="73"/>
    </row>
    <row r="12" spans="1:10" ht="25.5">
      <c r="A12" s="115" t="s">
        <v>92</v>
      </c>
      <c r="B12" s="115" t="s">
        <v>93</v>
      </c>
      <c r="C12" s="115" t="s">
        <v>94</v>
      </c>
      <c r="D12" s="116" t="s">
        <v>118</v>
      </c>
      <c r="E12" s="116"/>
      <c r="F12" s="115" t="s">
        <v>55</v>
      </c>
      <c r="G12" s="115" t="s">
        <v>119</v>
      </c>
      <c r="H12" s="117"/>
      <c r="I12" s="73"/>
    </row>
    <row r="13" spans="1:10" ht="38.25">
      <c r="A13" s="115" t="s">
        <v>95</v>
      </c>
      <c r="B13" s="115" t="s">
        <v>96</v>
      </c>
      <c r="C13" s="115" t="s">
        <v>97</v>
      </c>
      <c r="D13" s="116" t="s">
        <v>98</v>
      </c>
      <c r="E13" s="116"/>
      <c r="F13" s="115" t="s">
        <v>55</v>
      </c>
      <c r="G13" s="115" t="s">
        <v>119</v>
      </c>
      <c r="H13" s="117"/>
      <c r="I13" s="73"/>
    </row>
    <row r="14" spans="1:10" ht="38.25">
      <c r="A14" s="115" t="s">
        <v>99</v>
      </c>
      <c r="B14" s="115" t="s">
        <v>100</v>
      </c>
      <c r="C14" s="115" t="s">
        <v>101</v>
      </c>
      <c r="D14" s="116" t="s">
        <v>102</v>
      </c>
      <c r="E14" s="116"/>
      <c r="F14" s="115" t="s">
        <v>56</v>
      </c>
      <c r="G14" s="115" t="s">
        <v>119</v>
      </c>
      <c r="H14" s="117" t="s">
        <v>210</v>
      </c>
      <c r="I14" s="73"/>
    </row>
    <row r="15" spans="1:10" ht="25.5">
      <c r="A15" s="115" t="s">
        <v>103</v>
      </c>
      <c r="B15" s="115" t="s">
        <v>104</v>
      </c>
      <c r="C15" s="115" t="s">
        <v>105</v>
      </c>
      <c r="D15" s="116" t="s">
        <v>106</v>
      </c>
      <c r="E15" s="116"/>
      <c r="F15" s="115" t="s">
        <v>55</v>
      </c>
      <c r="G15" s="115" t="s">
        <v>119</v>
      </c>
      <c r="H15" s="117"/>
    </row>
    <row r="16" spans="1:10" ht="38.25">
      <c r="A16" s="115" t="s">
        <v>107</v>
      </c>
      <c r="B16" s="115" t="s">
        <v>108</v>
      </c>
      <c r="C16" s="115" t="s">
        <v>109</v>
      </c>
      <c r="D16" s="116" t="s">
        <v>110</v>
      </c>
      <c r="E16" s="116"/>
      <c r="F16" s="115" t="s">
        <v>55</v>
      </c>
      <c r="G16" s="115" t="s">
        <v>119</v>
      </c>
      <c r="H16" s="117">
        <f ca="1">A8:H16</f>
        <v>0</v>
      </c>
    </row>
  </sheetData>
  <mergeCells count="5">
    <mergeCell ref="B2:H2"/>
    <mergeCell ref="B3:H3"/>
    <mergeCell ref="B4:H4"/>
    <mergeCell ref="F5:H5"/>
    <mergeCell ref="F6:H6"/>
  </mergeCells>
  <phoneticPr fontId="28" type="noConversion"/>
  <dataValidations count="1">
    <dataValidation type="list" allowBlank="1" showErrorMessage="1" sqref="F1 F7:F141" xr:uid="{5F6D4847-6D48-4EB5-9B5D-00EA46FC9FAA}">
      <formula1>$J$2:$J$6</formula1>
      <formula2>0</formula2>
    </dataValidation>
  </dataValidations>
  <pageMargins left="0.74791666666666667" right="0.25" top="0.75" bottom="0.98402777777777772" header="0.5" footer="0.5"/>
  <pageSetup paperSize="9" firstPageNumber="0" orientation="landscape" horizontalDpi="300" verticalDpi="300" r:id="rId1"/>
  <headerFooter alignWithMargins="0">
    <oddHeader>&amp;LFacilitate_Test Case\Company&amp;Rv1.0</oddHeader>
    <oddFooter>&amp;L&amp;"Tahoma,Regular"&amp;8 02ae-BM/PM/HDCV/FSOFT v2/0&amp;C&amp;"Tahoma,Regular"&amp;10Internal use&amp;R&amp;"Tahoma,Regular"&amp;8&amp;P/&amp;N</oddFoot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9C2D0-A4B5-4AED-9BAC-425A0BC5407B}">
  <dimension ref="A1:I16"/>
  <sheetViews>
    <sheetView workbookViewId="0">
      <selection activeCell="C6" sqref="C6:H6"/>
    </sheetView>
  </sheetViews>
  <sheetFormatPr defaultRowHeight="12.75"/>
  <cols>
    <col min="1" max="1" width="9" style="7"/>
    <col min="2" max="2" width="13.5" style="7" customWidth="1"/>
    <col min="3" max="3" width="43" style="7" customWidth="1"/>
    <col min="4" max="4" width="9.5" style="7" customWidth="1"/>
    <col min="5" max="7" width="9" style="7"/>
    <col min="8" max="8" width="9.25" style="7" customWidth="1"/>
    <col min="9" max="9" width="23.5" style="7" customWidth="1"/>
    <col min="10" max="16384" width="9" style="7"/>
  </cols>
  <sheetData>
    <row r="1" spans="1:9" ht="25.5" customHeight="1">
      <c r="B1" s="136" t="s">
        <v>39</v>
      </c>
      <c r="C1" s="136"/>
      <c r="D1" s="136"/>
      <c r="E1" s="136"/>
      <c r="F1" s="136"/>
      <c r="G1" s="136"/>
      <c r="H1" s="136"/>
    </row>
    <row r="2" spans="1:9" ht="14.25" customHeight="1">
      <c r="A2" s="75"/>
      <c r="B2" s="75"/>
      <c r="C2" s="76"/>
      <c r="D2" s="76"/>
      <c r="E2" s="76"/>
      <c r="F2" s="76"/>
      <c r="G2" s="76"/>
      <c r="H2" s="77"/>
    </row>
    <row r="3" spans="1:9" ht="12" customHeight="1">
      <c r="B3" s="10" t="s">
        <v>1</v>
      </c>
      <c r="C3" s="119" t="s">
        <v>60</v>
      </c>
      <c r="D3" s="119"/>
      <c r="E3" s="134" t="s">
        <v>2</v>
      </c>
      <c r="F3" s="134"/>
      <c r="G3" s="78"/>
      <c r="H3" s="79"/>
    </row>
    <row r="4" spans="1:9" ht="12" customHeight="1">
      <c r="B4" s="10" t="s">
        <v>3</v>
      </c>
      <c r="C4" s="119" t="s">
        <v>4</v>
      </c>
      <c r="D4" s="119"/>
      <c r="E4" s="134" t="s">
        <v>5</v>
      </c>
      <c r="F4" s="134"/>
      <c r="G4" s="78"/>
      <c r="H4" s="79"/>
    </row>
    <row r="5" spans="1:9" ht="12" customHeight="1">
      <c r="B5" s="80" t="s">
        <v>6</v>
      </c>
      <c r="C5" s="119" t="str">
        <f>C4&amp;"_"&amp;"Test Report"&amp;"_"&amp;"vx.x"</f>
        <v>&lt;Project Code&gt;_Test Report_vx.x</v>
      </c>
      <c r="D5" s="119"/>
      <c r="E5" s="134" t="s">
        <v>7</v>
      </c>
      <c r="F5" s="134"/>
      <c r="G5" s="78"/>
      <c r="H5" s="81" t="s">
        <v>120</v>
      </c>
    </row>
    <row r="6" spans="1:9" ht="21.75" customHeight="1">
      <c r="A6" s="75"/>
      <c r="B6" s="80" t="s">
        <v>40</v>
      </c>
      <c r="C6" s="135" t="s">
        <v>207</v>
      </c>
      <c r="D6" s="135"/>
      <c r="E6" s="135"/>
      <c r="F6" s="135"/>
      <c r="G6" s="135"/>
      <c r="H6" s="135"/>
    </row>
    <row r="7" spans="1:9" ht="14.25" customHeight="1">
      <c r="A7" s="75"/>
      <c r="B7" s="12"/>
      <c r="C7" s="82"/>
      <c r="D7" s="76"/>
      <c r="E7" s="76"/>
      <c r="F7" s="76"/>
      <c r="G7" s="76"/>
      <c r="H7" s="77"/>
    </row>
    <row r="8" spans="1:9">
      <c r="B8" s="12"/>
      <c r="C8" s="82"/>
      <c r="D8" s="76"/>
      <c r="E8" s="76"/>
      <c r="F8" s="76"/>
      <c r="G8" s="76"/>
      <c r="H8" s="77"/>
    </row>
    <row r="9" spans="1:9">
      <c r="B9" s="84" t="s">
        <v>18</v>
      </c>
      <c r="C9" s="85" t="s">
        <v>41</v>
      </c>
      <c r="D9" s="86" t="s">
        <v>25</v>
      </c>
      <c r="E9" s="85" t="s">
        <v>27</v>
      </c>
      <c r="F9" s="85" t="s">
        <v>29</v>
      </c>
      <c r="G9" s="87" t="s">
        <v>57</v>
      </c>
      <c r="H9" s="88" t="s">
        <v>58</v>
      </c>
      <c r="I9" s="88" t="s">
        <v>42</v>
      </c>
    </row>
    <row r="10" spans="1:9">
      <c r="A10" s="83"/>
      <c r="B10" s="89">
        <v>1</v>
      </c>
      <c r="C10" s="90" t="str">
        <f>Module04!B2</f>
        <v>TC04 - Navigation Menu &amp; Links</v>
      </c>
      <c r="D10" s="91">
        <f>Module04!A6</f>
        <v>6</v>
      </c>
      <c r="E10" s="91">
        <f>Module04!B6</f>
        <v>0</v>
      </c>
      <c r="F10" s="91">
        <f>[1]Module1!C6</f>
        <v>0</v>
      </c>
      <c r="G10" s="91">
        <f>[1]Module1!D6</f>
        <v>0</v>
      </c>
      <c r="H10" s="91">
        <f>[1]Module1!E6</f>
        <v>0</v>
      </c>
      <c r="I10" s="91">
        <f>Module04!F6</f>
        <v>6</v>
      </c>
    </row>
    <row r="11" spans="1:9">
      <c r="A11" s="83"/>
      <c r="B11" s="89">
        <v>2</v>
      </c>
      <c r="C11" s="90" t="str">
        <f>Module14!B2</f>
        <v>TC14 - Movie Details Page</v>
      </c>
      <c r="D11" s="91">
        <f>Module14!A6</f>
        <v>6</v>
      </c>
      <c r="E11" s="91">
        <f>Module14!B6</f>
        <v>1</v>
      </c>
      <c r="F11" s="91">
        <f>[1]Module2!C6</f>
        <v>0</v>
      </c>
      <c r="G11" s="91">
        <f>[1]Module2!D6</f>
        <v>0</v>
      </c>
      <c r="H11" s="91">
        <f>[1]Module2!E6</f>
        <v>0</v>
      </c>
      <c r="I11" s="91">
        <f>Module14!F6</f>
        <v>7</v>
      </c>
    </row>
    <row r="12" spans="1:9">
      <c r="A12" s="83"/>
      <c r="B12" s="89"/>
      <c r="C12" s="90"/>
      <c r="D12" s="91"/>
      <c r="E12" s="91"/>
      <c r="F12" s="91"/>
      <c r="G12" s="92"/>
      <c r="H12" s="92"/>
      <c r="I12" s="93"/>
    </row>
    <row r="13" spans="1:9">
      <c r="A13" s="83"/>
      <c r="B13" s="94"/>
      <c r="C13" s="95" t="s">
        <v>43</v>
      </c>
      <c r="D13" s="96">
        <f>SUM(D8:D12)</f>
        <v>12</v>
      </c>
      <c r="E13" s="96">
        <f t="shared" ref="E13:I13" si="0">SUM(E8:E12)</f>
        <v>1</v>
      </c>
      <c r="F13" s="96">
        <f t="shared" si="0"/>
        <v>0</v>
      </c>
      <c r="G13" s="96">
        <f t="shared" si="0"/>
        <v>0</v>
      </c>
      <c r="H13" s="97">
        <f t="shared" si="0"/>
        <v>0</v>
      </c>
      <c r="I13" s="97">
        <f t="shared" si="0"/>
        <v>13</v>
      </c>
    </row>
    <row r="14" spans="1:9">
      <c r="B14" s="98"/>
      <c r="D14" s="99"/>
      <c r="E14" s="100"/>
      <c r="F14" s="100"/>
      <c r="G14" s="100"/>
      <c r="H14" s="100"/>
    </row>
    <row r="15" spans="1:9">
      <c r="C15" s="101" t="s">
        <v>44</v>
      </c>
      <c r="E15" s="102">
        <f>(D13+E13)*100/(I13-H13-G13)</f>
        <v>100</v>
      </c>
      <c r="F15" s="7" t="s">
        <v>45</v>
      </c>
      <c r="H15" s="65"/>
    </row>
    <row r="16" spans="1:9">
      <c r="C16" s="101" t="s">
        <v>46</v>
      </c>
      <c r="E16" s="102">
        <f>D13*100/(D13+E13)</f>
        <v>92.307692307692307</v>
      </c>
      <c r="F16" s="7" t="s">
        <v>45</v>
      </c>
      <c r="H16" s="65"/>
    </row>
  </sheetData>
  <mergeCells count="8">
    <mergeCell ref="C5:D5"/>
    <mergeCell ref="E5:F5"/>
    <mergeCell ref="C6:H6"/>
    <mergeCell ref="B1:H1"/>
    <mergeCell ref="C3:D3"/>
    <mergeCell ref="E3:F3"/>
    <mergeCell ref="C4:D4"/>
    <mergeCell ref="E4:F4"/>
  </mergeCells>
  <phoneticPr fontId="0" type="noConversion"/>
  <pageMargins left="0.74791666666666667" right="0.74791666666666667" top="0.98402777777777783" bottom="0.98402777777777772" header="0.51180555555555562" footer="0.5"/>
  <pageSetup firstPageNumber="0" orientation="landscape" horizontalDpi="300" verticalDpi="300" r:id="rId1"/>
  <headerFooter alignWithMargins="0">
    <oddFooter>&amp;L&amp;"Tahoma,Regular"&amp;8 02ae-BM/PM/HDCV/FSOFT v2/0&amp;C&amp;"tahoma,Regular"&amp;8Internal use&amp;R&amp;"Tahoma,Regular"&amp;8&amp;P/&amp;N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EA2A741C5885C41AB9A358CCBEA8A85" ma:contentTypeVersion="4" ma:contentTypeDescription="Create a new document." ma:contentTypeScope="" ma:versionID="1696f36ed93db054fc8f4d62be39c1ae">
  <xsd:schema xmlns:xsd="http://www.w3.org/2001/XMLSchema" xmlns:p="http://schemas.microsoft.com/office/2006/metadata/properties" xmlns:ns1="http://schemas.microsoft.com/sharepoint/v3" xmlns:ns2="41A7A25E-88C5-415C-AB9A-358CCBEA8A85" xmlns:ns3="cd6d2771-e08b-42a3-90f8-eca630337659" targetNamespace="http://schemas.microsoft.com/office/2006/metadata/properties" ma:root="true" ma:fieldsID="bffc5b2d08ab4fb7daf98c77989d8342" ns1:_="" ns2:_="" ns3:_="">
    <xsd:import namespace="http://schemas.microsoft.com/sharepoint/v3"/>
    <xsd:import namespace="41A7A25E-88C5-415C-AB9A-358CCBEA8A85"/>
    <xsd:import namespace="cd6d2771-e08b-42a3-90f8-eca630337659"/>
    <xsd:element name="properties">
      <xsd:complexType>
        <xsd:sequence>
          <xsd:element name="documentManagement">
            <xsd:complexType>
              <xsd:all>
                <xsd:element ref="ns1:_ModerationComments" minOccurs="0"/>
                <xsd:element ref="ns1:File_x0020_Type" minOccurs="0"/>
                <xsd:element ref="ns1:HTML_x0020_File_x0020_Type" minOccurs="0"/>
                <xsd:element ref="ns1:_SourceUrl" minOccurs="0"/>
                <xsd:element ref="ns1:_SharedFileIndex" minOccurs="0"/>
                <xsd:element ref="ns2:Priority" minOccurs="0"/>
                <xsd:element ref="ns1:ContentTypeId" minOccurs="0"/>
                <xsd:element ref="ns1:TemplateUrl" minOccurs="0"/>
                <xsd:element ref="ns1:xd_ProgID" minOccurs="0"/>
                <xsd:element ref="ns1:xd_Signature" minOccurs="0"/>
                <xsd:element ref="ns3:Number_x0020_Of_x0020_Viewer" minOccurs="0"/>
                <xsd:element ref="ns1:ID" minOccurs="0"/>
                <xsd:element ref="ns1:Author" minOccurs="0"/>
                <xsd:element ref="ns1:Editor" minOccurs="0"/>
                <xsd:element ref="ns1:_HasCopyDestinations" minOccurs="0"/>
                <xsd:element ref="ns1:_CopySource" minOccurs="0"/>
                <xsd:element ref="ns1:_ModerationStatus" minOccurs="0"/>
                <xsd:element ref="ns1:FileRef" minOccurs="0"/>
                <xsd:element ref="ns1:FileDirRef" minOccurs="0"/>
                <xsd:element ref="ns1:Last_x0020_Modified" minOccurs="0"/>
                <xsd:element ref="ns1:Created_x0020_Date" minOccurs="0"/>
                <xsd:element ref="ns1:File_x0020_Size" minOccurs="0"/>
                <xsd:element ref="ns1:FSObjType" minOccurs="0"/>
                <xsd:element ref="ns1:CheckedOutUserId" minOccurs="0"/>
                <xsd:element ref="ns1:IsCheckedoutToLocal" minOccurs="0"/>
                <xsd:element ref="ns1:CheckoutUser" minOccurs="0"/>
                <xsd:element ref="ns1:UniqueId" minOccurs="0"/>
                <xsd:element ref="ns1:ProgId" minOccurs="0"/>
                <xsd:element ref="ns1:ScopeId" minOccurs="0"/>
                <xsd:element ref="ns1:VirusStatus" minOccurs="0"/>
                <xsd:element ref="ns1:CheckedOutTitle" minOccurs="0"/>
                <xsd:element ref="ns1:_CheckinComment" minOccurs="0"/>
                <xsd:element ref="ns1:MetaInfo" minOccurs="0"/>
                <xsd:element ref="ns1:_Level" minOccurs="0"/>
                <xsd:element ref="ns1:_IsCurrentVersion" minOccurs="0"/>
                <xsd:element ref="ns1:owshiddenversion" minOccurs="0"/>
                <xsd:element ref="ns1:_UIVersion" minOccurs="0"/>
                <xsd:element ref="ns1:_UIVersionString" minOccurs="0"/>
                <xsd:element ref="ns1:InstanceID" minOccurs="0"/>
                <xsd:element ref="ns1:Order" minOccurs="0"/>
                <xsd:element ref="ns1:GUID" minOccurs="0"/>
                <xsd:element ref="ns1:WorkflowVersion" minOccurs="0"/>
                <xsd:element ref="ns1:WorkflowInstanceID" minOccurs="0"/>
                <xsd:element ref="ns1:ParentVersionString" minOccurs="0"/>
                <xsd:element ref="ns1:ParentLeafNam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_ModerationComments" ma:index="0" nillable="true" ma:displayName="Approver Comments" ma:hidden="true" ma:internalName="_ModerationComments" ma:readOnly="true">
      <xsd:simpleType>
        <xsd:restriction base="dms:Note"/>
      </xsd:simpleType>
    </xsd:element>
    <xsd:element name="File_x0020_Type" ma:index="4" nillable="true" ma:displayName="File Type" ma:hidden="true" ma:internalName="File_x0020_Type" ma:readOnly="true">
      <xsd:simpleType>
        <xsd:restriction base="dms:Text"/>
      </xsd:simpleType>
    </xsd:element>
    <xsd:element name="HTML_x0020_File_x0020_Type" ma:index="5" nillable="true" ma:displayName="HTML File Type" ma:hidden="true" ma:internalName="HTML_x0020_File_x0020_Type" ma:readOnly="true">
      <xsd:simpleType>
        <xsd:restriction base="dms:Text"/>
      </xsd:simpleType>
    </xsd:element>
    <xsd:element name="_SourceUrl" ma:index="6" nillable="true" ma:displayName="Source Url" ma:hidden="true" ma:internalName="_SourceUrl">
      <xsd:simpleType>
        <xsd:restriction base="dms:Text"/>
      </xsd:simpleType>
    </xsd:element>
    <xsd:element name="_SharedFileIndex" ma:index="7" nillable="true" ma:displayName="Shared File Index" ma:hidden="true" ma:internalName="_SharedFileIndex">
      <xsd:simpleType>
        <xsd:restriction base="dms:Text"/>
      </xsd:simpleType>
    </xsd:element>
    <xsd:element name="ContentTypeId" ma:index="10" nillable="true" ma:displayName="Content Type ID" ma:hidden="true" ma:internalName="ContentTypeId" ma:readOnly="true">
      <xsd:simpleType>
        <xsd:restriction base="dms:Unknown"/>
      </xsd:simpleType>
    </xsd:element>
    <xsd:element name="TemplateUrl" ma:index="11" nillable="true" ma:displayName="Template Link" ma:hidden="true" ma:internalName="TemplateUrl">
      <xsd:simpleType>
        <xsd:restriction base="dms:Text"/>
      </xsd:simpleType>
    </xsd:element>
    <xsd:element name="xd_ProgID" ma:index="12" nillable="true" ma:displayName="Html File Link" ma:hidden="true" ma:internalName="xd_ProgID">
      <xsd:simpleType>
        <xsd:restriction base="dms:Text"/>
      </xsd:simpleType>
    </xsd:element>
    <xsd:element name="xd_Signature" ma:index="13" nillable="true" ma:displayName="Is Signed" ma:hidden="true" ma:internalName="xd_Signature" ma:readOnly="true">
      <xsd:simpleType>
        <xsd:restriction base="dms:Boolean"/>
      </xsd:simpleType>
    </xsd:element>
    <xsd:element name="ID" ma:index="15" nillable="true" ma:displayName="ID" ma:internalName="ID" ma:readOnly="true">
      <xsd:simpleType>
        <xsd:restriction base="dms:Unknown"/>
      </xsd:simpleType>
    </xsd:element>
    <xsd:element name="Author" ma:index="18" nillable="true" ma:displayName="Created By" ma:list="UserInfo" ma:internalName="Author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ditor" ma:index="20" nillable="true" ma:displayName="Modified By" ma:list="UserInfo" ma:internalName="Editor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HasCopyDestinations" ma:index="21" nillable="true" ma:displayName="Has Copy Destinations" ma:hidden="true" ma:internalName="_HasCopyDestinations" ma:readOnly="true">
      <xsd:simpleType>
        <xsd:restriction base="dms:Boolean"/>
      </xsd:simpleType>
    </xsd:element>
    <xsd:element name="_CopySource" ma:index="22" nillable="true" ma:displayName="Copy Source" ma:description="" ma:internalName="_CopySource" ma:readOnly="true">
      <xsd:simpleType>
        <xsd:restriction base="dms:Text"/>
      </xsd:simpleType>
    </xsd:element>
    <xsd:element name="_ModerationStatus" ma:index="23" nillable="true" ma:displayName="Approval Status" ma:default="0" ma:hidden="true" ma:internalName="_ModerationStatus" ma:readOnly="true">
      <xsd:simpleType>
        <xsd:restriction base="dms:Unknown"/>
      </xsd:simpleType>
    </xsd:element>
    <xsd:element name="FileRef" ma:index="24" nillable="true" ma:displayName="URL Path" ma:hidden="true" ma:list="Docs" ma:internalName="FileRef" ma:readOnly="true" ma:showField="FullUrl">
      <xsd:simpleType>
        <xsd:restriction base="dms:Lookup"/>
      </xsd:simpleType>
    </xsd:element>
    <xsd:element name="FileDirRef" ma:index="25" nillable="true" ma:displayName="Path" ma:hidden="true" ma:list="Docs" ma:internalName="FileDirRef" ma:readOnly="true" ma:showField="DirName">
      <xsd:simpleType>
        <xsd:restriction base="dms:Lookup"/>
      </xsd:simpleType>
    </xsd:element>
    <xsd:element name="Last_x0020_Modified" ma:index="26" nillable="true" ma:displayName="Modified" ma:format="TRUE" ma:hidden="true" ma:list="Docs" ma:internalName="Last_x0020_Modified" ma:readOnly="true" ma:showField="TimeLastModified">
      <xsd:simpleType>
        <xsd:restriction base="dms:Lookup"/>
      </xsd:simpleType>
    </xsd:element>
    <xsd:element name="Created_x0020_Date" ma:index="27" nillable="true" ma:displayName="Created" ma:format="TRUE" ma:hidden="true" ma:list="Docs" ma:internalName="Created_x0020_Date" ma:readOnly="true" ma:showField="TimeCreated">
      <xsd:simpleType>
        <xsd:restriction base="dms:Lookup"/>
      </xsd:simpleType>
    </xsd:element>
    <xsd:element name="File_x0020_Size" ma:index="28" nillable="true" ma:displayName="File Size" ma:format="TRUE" ma:hidden="true" ma:list="Docs" ma:internalName="File_x0020_Size" ma:readOnly="true" ma:showField="SizeInKB">
      <xsd:simpleType>
        <xsd:restriction base="dms:Lookup"/>
      </xsd:simpleType>
    </xsd:element>
    <xsd:element name="FSObjType" ma:index="29" nillable="true" ma:displayName="Item Type" ma:hidden="true" ma:list="Docs" ma:internalName="FSObjType" ma:readOnly="true" ma:showField="FSType">
      <xsd:simpleType>
        <xsd:restriction base="dms:Lookup"/>
      </xsd:simpleType>
    </xsd:element>
    <xsd:element name="CheckedOutUserId" ma:index="31" nillable="true" ma:displayName="ID of the User who has the item Checked Out" ma:hidden="true" ma:list="Docs" ma:internalName="CheckedOutUserId" ma:readOnly="true" ma:showField="CheckoutUserId">
      <xsd:simpleType>
        <xsd:restriction base="dms:Lookup"/>
      </xsd:simpleType>
    </xsd:element>
    <xsd:element name="IsCheckedoutToLocal" ma:index="32" nillable="true" ma:displayName="Is Checked out to local" ma:hidden="true" ma:list="Docs" ma:internalName="IsCheckedoutToLocal" ma:readOnly="true" ma:showField="IsCheckoutToLocal">
      <xsd:simpleType>
        <xsd:restriction base="dms:Lookup"/>
      </xsd:simpleType>
    </xsd:element>
    <xsd:element name="CheckoutUser" ma:index="33" nillable="true" ma:displayName="Checked Out To" ma:list="UserInfo" ma:internalName="CheckoutUser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UniqueId" ma:index="34" nillable="true" ma:displayName="Unique Id" ma:hidden="true" ma:list="Docs" ma:internalName="UniqueId" ma:readOnly="true" ma:showField="UniqueId">
      <xsd:simpleType>
        <xsd:restriction base="dms:Lookup"/>
      </xsd:simpleType>
    </xsd:element>
    <xsd:element name="ProgId" ma:index="35" nillable="true" ma:displayName="ProgId" ma:hidden="true" ma:list="Docs" ma:internalName="ProgId" ma:readOnly="true" ma:showField="ProgId">
      <xsd:simpleType>
        <xsd:restriction base="dms:Lookup"/>
      </xsd:simpleType>
    </xsd:element>
    <xsd:element name="ScopeId" ma:index="36" nillable="true" ma:displayName="ScopeId" ma:hidden="true" ma:list="Docs" ma:internalName="ScopeId" ma:readOnly="true" ma:showField="ScopeId">
      <xsd:simpleType>
        <xsd:restriction base="dms:Lookup"/>
      </xsd:simpleType>
    </xsd:element>
    <xsd:element name="VirusStatus" ma:index="37" nillable="true" ma:displayName="Virus Status" ma:format="TRUE" ma:hidden="true" ma:list="Docs" ma:internalName="VirusStatus" ma:readOnly="true" ma:showField="Size">
      <xsd:simpleType>
        <xsd:restriction base="dms:Lookup"/>
      </xsd:simpleType>
    </xsd:element>
    <xsd:element name="CheckedOutTitle" ma:index="38" nillable="true" ma:displayName="Checked Out To" ma:format="TRUE" ma:hidden="true" ma:list="Docs" ma:internalName="CheckedOutTitle" ma:readOnly="true" ma:showField="CheckedOutTitle">
      <xsd:simpleType>
        <xsd:restriction base="dms:Lookup"/>
      </xsd:simpleType>
    </xsd:element>
    <xsd:element name="_CheckinComment" ma:index="39" nillable="true" ma:displayName="Check In Comment" ma:format="TRUE" ma:list="Docs" ma:internalName="_CheckinComment" ma:readOnly="true" ma:showField="CheckinComment">
      <xsd:simpleType>
        <xsd:restriction base="dms:Lookup"/>
      </xsd:simpleType>
    </xsd:element>
    <xsd:element name="MetaInfo" ma:index="50" nillable="true" ma:displayName="Property Bag" ma:hidden="true" ma:list="Docs" ma:internalName="MetaInfo" ma:showField="MetaInfo">
      <xsd:simpleType>
        <xsd:restriction base="dms:Lookup"/>
      </xsd:simpleType>
    </xsd:element>
    <xsd:element name="_Level" ma:index="51" nillable="true" ma:displayName="Level" ma:hidden="true" ma:internalName="_Level" ma:readOnly="true">
      <xsd:simpleType>
        <xsd:restriction base="dms:Unknown"/>
      </xsd:simpleType>
    </xsd:element>
    <xsd:element name="_IsCurrentVersion" ma:index="52" nillable="true" ma:displayName="Is Current Version" ma:hidden="true" ma:internalName="_IsCurrentVersion" ma:readOnly="true">
      <xsd:simpleType>
        <xsd:restriction base="dms:Boolean"/>
      </xsd:simpleType>
    </xsd:element>
    <xsd:element name="owshiddenversion" ma:index="56" nillable="true" ma:displayName="owshiddenversion" ma:hidden="true" ma:internalName="owshiddenversion" ma:readOnly="true">
      <xsd:simpleType>
        <xsd:restriction base="dms:Unknown"/>
      </xsd:simpleType>
    </xsd:element>
    <xsd:element name="_UIVersion" ma:index="57" nillable="true" ma:displayName="UI Version" ma:hidden="true" ma:internalName="_UIVersion" ma:readOnly="true">
      <xsd:simpleType>
        <xsd:restriction base="dms:Unknown"/>
      </xsd:simpleType>
    </xsd:element>
    <xsd:element name="_UIVersionString" ma:index="58" nillable="true" ma:displayName="Version" ma:internalName="_UIVersionString" ma:readOnly="true">
      <xsd:simpleType>
        <xsd:restriction base="dms:Text"/>
      </xsd:simpleType>
    </xsd:element>
    <xsd:element name="InstanceID" ma:index="59" nillable="true" ma:displayName="Instance ID" ma:hidden="true" ma:internalName="InstanceID" ma:readOnly="true">
      <xsd:simpleType>
        <xsd:restriction base="dms:Unknown"/>
      </xsd:simpleType>
    </xsd:element>
    <xsd:element name="Order" ma:index="60" nillable="true" ma:displayName="Order" ma:hidden="true" ma:internalName="Order">
      <xsd:simpleType>
        <xsd:restriction base="dms:Number"/>
      </xsd:simpleType>
    </xsd:element>
    <xsd:element name="GUID" ma:index="61" nillable="true" ma:displayName="GUID" ma:hidden="true" ma:internalName="GUID" ma:readOnly="true">
      <xsd:simpleType>
        <xsd:restriction base="dms:Unknown"/>
      </xsd:simpleType>
    </xsd:element>
    <xsd:element name="WorkflowVersion" ma:index="62" nillable="true" ma:displayName="Workflow Version" ma:hidden="true" ma:internalName="WorkflowVersion" ma:readOnly="true">
      <xsd:simpleType>
        <xsd:restriction base="dms:Unknown"/>
      </xsd:simpleType>
    </xsd:element>
    <xsd:element name="WorkflowInstanceID" ma:index="63" nillable="true" ma:displayName="Workflow Instance ID" ma:hidden="true" ma:internalName="WorkflowInstanceID" ma:readOnly="true">
      <xsd:simpleType>
        <xsd:restriction base="dms:Unknown"/>
      </xsd:simpleType>
    </xsd:element>
    <xsd:element name="ParentVersionString" ma:index="64" nillable="true" ma:displayName="Source Version (Converted Document)" ma:hidden="true" ma:list="Docs" ma:internalName="ParentVersionString" ma:readOnly="true" ma:showField="ParentVersionString">
      <xsd:simpleType>
        <xsd:restriction base="dms:Lookup"/>
      </xsd:simpleType>
    </xsd:element>
    <xsd:element name="ParentLeafName" ma:index="65" nillable="true" ma:displayName="Source Name (Converted Document)" ma:hidden="true" ma:list="Docs" ma:internalName="ParentLeafName" ma:readOnly="true" ma:showField="ParentLeafName">
      <xsd:simpleType>
        <xsd:restriction base="dms:Lookup"/>
      </xsd:simpleType>
    </xsd:element>
  </xsd:schema>
  <xsd:schema xmlns:xsd="http://www.w3.org/2001/XMLSchema" xmlns:dms="http://schemas.microsoft.com/office/2006/documentManagement/types" targetNamespace="41A7A25E-88C5-415C-AB9A-358CCBEA8A85" elementFormDefault="qualified">
    <xsd:import namespace="http://schemas.microsoft.com/office/2006/documentManagement/types"/>
    <xsd:element name="Priority" ma:index="9" nillable="true" ma:displayName="Priority" ma:internalName="Priority">
      <xsd:simpleType>
        <xsd:restriction base="dms:Number"/>
      </xsd:simpleType>
    </xsd:element>
  </xsd:schema>
  <xsd:schema xmlns:xsd="http://www.w3.org/2001/XMLSchema" xmlns:dms="http://schemas.microsoft.com/office/2006/documentManagement/types" targetNamespace="cd6d2771-e08b-42a3-90f8-eca630337659" elementFormDefault="qualified">
    <xsd:import namespace="http://schemas.microsoft.com/office/2006/documentManagement/types"/>
    <xsd:element name="Number_x0020_Of_x0020_Viewer" ma:index="14" nillable="true" ma:displayName="Number Of Viewer" ma:default="0" ma:internalName="Number_x0020_Of_x0020_Viewer">
      <xsd:simpleType>
        <xsd:restriction base="dms:Number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 ma:readOnly="true"/>
        <xsd:element ref="dc:title" minOccurs="0" maxOccurs="1" ma:index="8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emplateUrl xmlns="http://schemas.microsoft.com/sharepoint/v3" xsi:nil="true"/>
    <Number_x0020_Of_x0020_Viewer xmlns="cd6d2771-e08b-42a3-90f8-eca630337659">0</Number_x0020_Of_x0020_Viewer>
    <_SourceUrl xmlns="http://schemas.microsoft.com/sharepoint/v3" xsi:nil="true"/>
    <Priority xmlns="41A7A25E-88C5-415C-AB9A-358CCBEA8A85" xsi:nil="true"/>
    <xd_ProgID xmlns="http://schemas.microsoft.com/sharepoint/v3" xsi:nil="true"/>
    <Order xmlns="http://schemas.microsoft.com/sharepoint/v3" xsi:nil="true"/>
    <_SharedFileIndex xmlns="http://schemas.microsoft.com/sharepoint/v3" xsi:nil="true"/>
    <MetaInfo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85ED280E-F51D-42B1-B363-4EC477D089E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98618FE-843B-48E6-B1F2-2AB76D41F4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1A7A25E-88C5-415C-AB9A-358CCBEA8A85"/>
    <ds:schemaRef ds:uri="cd6d2771-e08b-42a3-90f8-eca630337659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3.xml><?xml version="1.0" encoding="utf-8"?>
<ds:datastoreItem xmlns:ds="http://schemas.openxmlformats.org/officeDocument/2006/customXml" ds:itemID="{B3FE153F-83E4-41FE-A9C4-8D6AD58A9EE7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cd6d2771-e08b-42a3-90f8-eca630337659"/>
    <ds:schemaRef ds:uri="41A7A25E-88C5-415C-AB9A-358CCBEA8A8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Cover</vt:lpstr>
      <vt:lpstr>Test case List</vt:lpstr>
      <vt:lpstr>TestDesign</vt:lpstr>
      <vt:lpstr>Module04</vt:lpstr>
      <vt:lpstr>Module14</vt:lpstr>
      <vt:lpstr>Test Report</vt:lpstr>
      <vt:lpstr>Module04</vt:lpstr>
      <vt:lpstr>Module14</vt:lpstr>
      <vt:lpstr>TestDesign!Print_Area</vt:lpstr>
    </vt:vector>
  </TitlesOfParts>
  <Company>FSOFT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 case</dc:title>
  <dc:subject>v1/0</dc:subject>
  <dc:creator>Nguyễn Thanh Tú</dc:creator>
  <dc:description>Updates sheet Cover: Add logo, document code, creator, reviewer/approver._x000d_
Add sheet Test Case List._x000d_
Change Sheet Company, User, Provider to Modules. Add column Inter-test case dependent. Update these sheets._x000d_
Update Test Report</dc:description>
  <cp:lastModifiedBy>Nguyễn Thanh Tú</cp:lastModifiedBy>
  <cp:lastPrinted>2010-11-12T10:33:20Z</cp:lastPrinted>
  <dcterms:created xsi:type="dcterms:W3CDTF">2014-07-14T08:56:24Z</dcterms:created>
  <dcterms:modified xsi:type="dcterms:W3CDTF">2025-11-15T15:54:23Z</dcterms:modified>
  <cp:category>BM</cp:category>
</cp:coreProperties>
</file>