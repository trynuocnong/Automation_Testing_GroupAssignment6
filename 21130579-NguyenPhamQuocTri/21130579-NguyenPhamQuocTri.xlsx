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50" tabRatio="821" activeTab="4"/>
  </bookViews>
  <sheets>
    <sheet name="Cover" sheetId="1" r:id="rId1"/>
    <sheet name="Test case List" sheetId="2" r:id="rId2"/>
    <sheet name="TestDesign" sheetId="6" r:id="rId3"/>
    <sheet name="Module 03" sheetId="9" r:id="rId4"/>
    <sheet name="Module 13" sheetId="8" r:id="rId5"/>
    <sheet name="Test Report" sheetId="5" r:id="rId6"/>
  </sheets>
  <externalReferences>
    <externalReference r:id="rId10"/>
  </externalReferences>
  <definedNames>
    <definedName name="_xlnm._FilterDatabase" localSheetId="2" hidden="1">TestDesign!$A$1:$F$37</definedName>
    <definedName name="_xlnm._FilterDatabase" localSheetId="3" hidden="1">'Module 03'!$A$8:$H$16</definedName>
    <definedName name="_xlnm._FilterDatabase" localSheetId="4" hidden="1">'Module 13'!$A$8:$H$14</definedName>
    <definedName name="_Toc301930468" localSheetId="2">TestDesign!#REF!</definedName>
    <definedName name="_Toc301930478" localSheetId="2">TestDesign!#REF!</definedName>
    <definedName name="ACTION">#REF!</definedName>
    <definedName name="_xlnm.Print_Area" localSheetId="2">TestDesign!$A$1:$F$37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b/>
            <sz val="10"/>
            <color indexed="8"/>
            <rFont val="Times New Roman"/>
            <charset val="134"/>
          </rPr>
          <t>*A</t>
        </r>
        <r>
          <rPr>
            <sz val="10"/>
            <color indexed="8"/>
            <rFont val="Times New Roman"/>
            <charset val="134"/>
          </rPr>
          <t xml:space="preserve">: Add
  </t>
        </r>
        <r>
          <rPr>
            <b/>
            <sz val="10"/>
            <color indexed="8"/>
            <rFont val="Times New Roman"/>
            <charset val="134"/>
          </rPr>
          <t>M</t>
        </r>
        <r>
          <rPr>
            <sz val="10"/>
            <color indexed="8"/>
            <rFont val="Times New Roman"/>
            <charset val="134"/>
          </rPr>
          <t xml:space="preserve">: Modify
  </t>
        </r>
        <r>
          <rPr>
            <b/>
            <sz val="10"/>
            <color indexed="8"/>
            <rFont val="Times New Roman"/>
            <charset val="134"/>
          </rPr>
          <t>D</t>
        </r>
        <r>
          <rPr>
            <sz val="10"/>
            <color indexed="8"/>
            <rFont val="Times New Roman"/>
            <charset val="134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Tran Thi Lanh</author>
  </authors>
  <commentList>
    <comment ref="C1" authorId="0">
      <text>
        <r>
          <rPr>
            <b/>
            <sz val="8"/>
            <rFont val="Tahoma"/>
            <charset val="134"/>
          </rPr>
          <t>Tran Thi Lanh:</t>
        </r>
        <r>
          <rPr>
            <sz val="8"/>
            <rFont val="Tahoma"/>
            <charset val="134"/>
          </rPr>
          <t xml:space="preserve">
It does not required to have 3 requirement levels. It depends on your decentralization.</t>
        </r>
      </text>
    </comment>
    <comment ref="D1" authorId="0">
      <text>
        <r>
          <rPr>
            <b/>
            <sz val="8"/>
            <rFont val="Tahoma"/>
            <charset val="134"/>
          </rPr>
          <t>Tran Thi Lanh:</t>
        </r>
        <r>
          <rPr>
            <sz val="8"/>
            <rFont val="Tahoma"/>
            <charset val="134"/>
          </rPr>
          <t xml:space="preserve">
Brief description about the case you'll check</t>
        </r>
      </text>
    </comment>
    <comment ref="E1" authorId="0">
      <text>
        <r>
          <rPr>
            <b/>
            <sz val="8"/>
            <rFont val="Tahoma"/>
            <charset val="134"/>
          </rPr>
          <t>Tran Thi Lanh:</t>
        </r>
        <r>
          <rPr>
            <sz val="8"/>
            <rFont val="Tahoma"/>
            <charset val="134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8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8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<sst xmlns="http://schemas.openxmlformats.org/spreadsheetml/2006/main" count="303" uniqueCount="197">
  <si>
    <t>TEST CASE</t>
  </si>
  <si>
    <t>Project Name</t>
  </si>
  <si>
    <t>Testing using Manual &amp; Automation for hdtoday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</si>
  <si>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</si>
  <si>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</si>
  <si>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</si>
  <si>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</si>
  <si>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</si>
  <si>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</si>
  <si>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</si>
  <si>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</si>
  <si>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</si>
  <si>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</si>
  <si>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</si>
  <si>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</si>
  <si>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</si>
  <si>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</si>
  <si>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</si>
  <si>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</si>
  <si>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</si>
  <si>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1. Web Browser
2. BugBug (Automation Testing Tool)
3. CSV files (for DDT)</t>
  </si>
  <si>
    <t>No</t>
  </si>
  <si>
    <t>Function Name</t>
  </si>
  <si>
    <t>Sheet Name</t>
  </si>
  <si>
    <t>Description</t>
  </si>
  <si>
    <t>Pre-Condition</t>
  </si>
  <si>
    <t>Advanced Playback Settings</t>
  </si>
  <si>
    <t>Module 03</t>
  </si>
  <si>
    <t>Watch History and Continue Watching</t>
  </si>
  <si>
    <t>Module 13</t>
  </si>
  <si>
    <t>Requirement Level 1</t>
  </si>
  <si>
    <t>Requirement Level 2</t>
  </si>
  <si>
    <t>Requirement Level 3</t>
  </si>
  <si>
    <t>Test Criteria</t>
  </si>
  <si>
    <t>Test Type</t>
  </si>
  <si>
    <t>Note</t>
  </si>
  <si>
    <t>TC03 – Advanced Playback Settings</t>
  </si>
  <si>
    <t>Video Quality</t>
  </si>
  <si>
    <t>Change resolution</t>
  </si>
  <si>
    <t>1. Video reloads at selected resolution.</t>
  </si>
  <si>
    <t>Function.</t>
  </si>
  <si>
    <t>2. Quality indicator updates correctly.</t>
  </si>
  <si>
    <t>GUI</t>
  </si>
  <si>
    <t>3. Playback continues smoothly.</t>
  </si>
  <si>
    <t>Speed Adjustment</t>
  </si>
  <si>
    <t>Speed change</t>
  </si>
  <si>
    <t>1. Playback speed changes instantly.</t>
  </si>
  <si>
    <t>2. Audio sync remains correct.</t>
  </si>
  <si>
    <t>3. Speed value remains highlighted.</t>
  </si>
  <si>
    <t>Subtitle</t>
  </si>
  <si>
    <t>Subtitle On/Off</t>
  </si>
  <si>
    <t>1. Subtitles appear immediately when turned ON.</t>
  </si>
  <si>
    <t>2. Display updates when language is switched.</t>
  </si>
  <si>
    <t>3. Subtitles disappear when turned OFF.</t>
  </si>
  <si>
    <t>Fullscreen</t>
  </si>
  <si>
    <t>Enter fullscreen</t>
  </si>
  <si>
    <t>1. Video expands to fullscreen mode.</t>
  </si>
  <si>
    <t>Function</t>
  </si>
  <si>
    <t>2. Controls remain accessible.</t>
  </si>
  <si>
    <t>3. Exiting fullscreen returns to original player size.</t>
  </si>
  <si>
    <t>Server Switch</t>
  </si>
  <si>
    <t>Switch server</t>
  </si>
  <si>
    <t>1. Video reloads using the new server.</t>
  </si>
  <si>
    <t>2. Playback resumes from similar timestamp.</t>
  </si>
  <si>
    <t>3. No infinite loading/error after switching.</t>
  </si>
  <si>
    <t>Auto Resume</t>
  </si>
  <si>
    <t>Auto resume after changing settings</t>
  </si>
  <si>
    <t>1. Video resumes automatically after each setting change.</t>
  </si>
  <si>
    <t>2. Timestamp does not reset.</t>
  </si>
  <si>
    <t>3. No freezing or black screen occurs.</t>
  </si>
  <si>
    <t>TC13 – Watch History &amp; Continue Watching</t>
  </si>
  <si>
    <t>Homepage</t>
  </si>
  <si>
    <t>Display of Continue Watching</t>
  </si>
  <si>
    <t>1. Section appears under homepage banner.</t>
  </si>
  <si>
    <t>2. Cards show last-watched movies/episodes with progress bar.</t>
  </si>
  <si>
    <t>3. If no history exists, section is hidden.</t>
  </si>
  <si>
    <t>Resume Playback</t>
  </si>
  <si>
    <t>1. Video opens at previously saved timestamp.</t>
  </si>
  <si>
    <t>2. Playback resumes without errors.</t>
  </si>
  <si>
    <t>Continue Watching</t>
  </si>
  <si>
    <t>Auto-add to Continue Watching</t>
  </si>
  <si>
    <t>1. Item appears under Continue Watching.</t>
  </si>
  <si>
    <t>2. Progress bar reflects the point where playback stopped.</t>
  </si>
  <si>
    <t>Watch History</t>
  </si>
  <si>
    <t>Display Watch History page</t>
  </si>
  <si>
    <t>1. List of previously watched movies/episodes appears.</t>
  </si>
  <si>
    <t>2. Cards show poster, title, and last watched date/time.</t>
  </si>
  <si>
    <t>3. Latest watched item appears at top.</t>
  </si>
  <si>
    <t>Deletion</t>
  </si>
  <si>
    <t>Delete single item</t>
  </si>
  <si>
    <t>1. Item is removed instantly.</t>
  </si>
  <si>
    <t>2. Page updates with remaining items.</t>
  </si>
  <si>
    <t>3. Item also disappears from Continue Watching section.</t>
  </si>
  <si>
    <t>Clear all history</t>
  </si>
  <si>
    <t>1. Full watch history is cleared.</t>
  </si>
  <si>
    <t>2. Page shows “No history found” message.</t>
  </si>
  <si>
    <t>3. Continue Watching section becomes empty on homepage.</t>
  </si>
  <si>
    <t>Playback Resume</t>
  </si>
  <si>
    <t>Cross-episode behavior</t>
  </si>
  <si>
    <t>1. Homepage Continue Watching shows separate entries for the movie and TV episode.</t>
  </si>
  <si>
    <t>2. Each resumes from its own progress bar when played.</t>
  </si>
  <si>
    <t>]</t>
  </si>
  <si>
    <t>Module Code</t>
  </si>
  <si>
    <t>TC03 - Advanced Playback Settings</t>
  </si>
  <si>
    <t>Passed</t>
  </si>
  <si>
    <t>Test requirement</t>
  </si>
  <si>
    <t>No Requirement</t>
  </si>
  <si>
    <t>Failed</t>
  </si>
  <si>
    <t>Tester</t>
  </si>
  <si>
    <t>Nguyen Pham Quoc Tri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</si>
  <si>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</si>
  <si>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</si>
  <si>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</si>
  <si>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</si>
  <si>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</si>
  <si>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</si>
  <si>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</si>
  <si>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</si>
  <si>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</si>
  <si>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</si>
  <si>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</si>
  <si>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Function A</t>
  </si>
  <si>
    <t>TC03-01</t>
  </si>
  <si>
    <t>Video Quality Change: Verify user can change video resolution.</t>
  </si>
  <si>
    <t>1. Open any movie/episode.
2. Click the Settings or Quality icon in the player.
3. Select a different resolution (e.g., Auto → 720p).</t>
  </si>
  <si>
    <t>1. Video reloads at selected resolution.
2. Quality indicator updates correctly.
3. Playback continues smoothly.</t>
  </si>
  <si>
    <t>15/11/2025</t>
  </si>
  <si>
    <t>HDToday provides multiple server qualities.</t>
  </si>
  <si>
    <t>TC03-02</t>
  </si>
  <si>
    <t>Playback Speed Adjustment: Verify speed changes work smoothly.</t>
  </si>
  <si>
    <t>1. Open video player.
2. Click Speed settings.
3. Choose speeds like 1.25x, 1.5x, 2x.</t>
  </si>
  <si>
    <t>1. Playback speed changes instantly.
2. Audio sync remains correct.
3. Speed value remains highlighted.</t>
  </si>
  <si>
    <t>TC03-03</t>
  </si>
  <si>
    <t>Subtitle On/Off + Language Switching.</t>
  </si>
  <si>
    <t>1. Click Subtitles / CC icon.
2. Turn subtitles ON.
3. If available, switch between languages (e.g., English → Spanish).
4. Turn subtitles OFF.</t>
  </si>
  <si>
    <t>1. Subtitles appear immediately when turned ON.
2. Display updates when language is switched.
3. Subtitles disappear when turned OFF.</t>
  </si>
  <si>
    <t>Subtitle options vary by movie.</t>
  </si>
  <si>
    <t>TC03-04</t>
  </si>
  <si>
    <t>Fullscreen Mode: Verify entering and exiting fullscreen.</t>
  </si>
  <si>
    <t>1. Start playback.
2. Click Fullscreen icon.
3. Press Esc to exit fullscreen.</t>
  </si>
  <si>
    <t>1. Video expands to fullscreen mode.
2. Controls remain accessible.
3. Exiting fullscreen returns to original player size.</t>
  </si>
  <si>
    <t>TC03-05</t>
  </si>
  <si>
    <t>Playback Server Switching: Verify switching streaming servers works.</t>
  </si>
  <si>
    <t>1. Start playback.
2. In player settings, switch from Server 1 to Server 2 (or HD/SD server options).</t>
  </si>
  <si>
    <t>1. Video reloads using the new server.
2. Playback resumes from similar timestamp.
3. No infinite loading/error after switching.</t>
  </si>
  <si>
    <t>Very important for HDToday.</t>
  </si>
  <si>
    <t>TC03-06</t>
  </si>
  <si>
    <t>Auto Resume After Settings Change: Verify playback continues after adjustments.</t>
  </si>
  <si>
    <t>1. Access URL: /no1. Start video.
2. Change quality, speed, or subtitles while playing.
3. Observe playback.t-exist-page-12345.</t>
  </si>
  <si>
    <t>1. Video resumes automatically after each setting change.
2. Timestamp does not reset.
3. No freezing or black screen occurs.</t>
  </si>
  <si>
    <t>TC03-01 / TC03-02 / TC03-03</t>
  </si>
  <si>
    <t>Ensures overall stability</t>
  </si>
  <si>
    <t>TC13-Watch History and Continue Watching</t>
  </si>
  <si>
    <t>TC13-01</t>
  </si>
  <si>
    <t>Homepage: Verify Continue Watching section displays previously watched titles.</t>
  </si>
  <si>
    <t>1. Navigate to hdtodayz.to homepage.
2. Scroll to the Continue Watching row.</t>
  </si>
  <si>
    <t>1. Section appears under homepage banner.
2. Cards show last-watched movies/episodes with progress bar.
3. If no history exists, section is hidden.</t>
  </si>
  <si>
    <t>TC13-02</t>
  </si>
  <si>
    <t>Resume Playback: Verify clicking a Continue Watching item resumes from last timestamp.</t>
  </si>
  <si>
    <t>1. On homepage, click an item under Continue Watching.
2. Play the video.</t>
  </si>
  <si>
    <t>1. Video opens at previously saved timestamp.
2. Playback resumes without errors.</t>
  </si>
  <si>
    <t>TC14-01</t>
  </si>
  <si>
    <t>TC13-03</t>
  </si>
  <si>
    <t>Auto-add to Continue Watching after partial viewing.</t>
  </si>
  <si>
    <t>1. Open any movie/episode.
2. Watch for at least 15–20 seconds.
3. Refresh homepage.</t>
  </si>
  <si>
    <t>1. Item appears under Continue Watching.
2. Progress bar reflects the point where playback stopped.</t>
  </si>
  <si>
    <t>TC13-04</t>
  </si>
  <si>
    <t>Watch History Page: Verify watched titles appear in Watch History.</t>
  </si>
  <si>
    <t>1. Click History (top header menu)</t>
  </si>
  <si>
    <t>1. List of previously watched movies/episodes appears.
2. Cards show poster, title, and last watched date/time.
3. Latest watched item appears at top.</t>
  </si>
  <si>
    <t>TC14-03</t>
  </si>
  <si>
    <t>TC13-05</t>
  </si>
  <si>
    <t>Delete Single Item: Verify a user can remove one history entry.</t>
  </si>
  <si>
    <t>1. Open History page.
2. Click the Delete/Remove (X) icon for an entry.</t>
  </si>
  <si>
    <t>1. Item is removed instantly.
2. Page updates with remaining items.
3. Item also disappears from Continue Watching section.</t>
  </si>
  <si>
    <t>TC14-04</t>
  </si>
  <si>
    <t>TC13-06</t>
  </si>
  <si>
    <t>Clear All: Verify clearing entire watch history works.</t>
  </si>
  <si>
    <t>1. Go to History page.
2. Click Clear All.
3. Confirm action if prompted.</t>
  </si>
  <si>
    <t>1. Full watch history is cleared.
2. Page shows “No history found” message.
3. Continue Watching section becomes empty on homepage.</t>
  </si>
  <si>
    <t>TC13-07</t>
  </si>
  <si>
    <t>Cross-movie/episode continuity: Verify HDToday saves progress per episode.</t>
  </si>
  <si>
    <t>1. Start watching a TV episode → stop after 30 seconds.
2. Start another episode or a movie.
3. Return to homepage.</t>
  </si>
  <si>
    <t>1. Homepage Continue Watching shows separate entries for the movie and TV episode.
2. Each resumes from its own progress bar when played.</t>
  </si>
  <si>
    <t>TEST REPORT</t>
  </si>
  <si>
    <t>Advanced Playback Settings &amp; Watch History and Continue Watching</t>
  </si>
  <si>
    <t>14/11/2025</t>
  </si>
  <si>
    <t>Notes</t>
  </si>
  <si>
    <t>&lt;List modules included in this release&gt; ex: Release 1 includes 2 modules: Module 3 and Module 13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</si>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</sst>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;@"/>
  </numFmts>
  <fonts count="55">
    <font>
      <sz val="11"/>
      <name val="ＭＳ Ｐゴシック"/>
      <charset val="128"/>
    </font>
    <font>
      <sz val="10"/>
      <name val="Tahoma"/>
      <charset val="134"/>
    </font>
    <font>
      <b/>
      <sz val="20"/>
      <color indexed="8"/>
      <name val="Tahoma"/>
      <charset val="134"/>
    </font>
    <font>
      <b/>
      <sz val="10"/>
      <name val="Tahoma"/>
      <charset val="134"/>
    </font>
    <font>
      <b/>
      <sz val="10"/>
      <color indexed="60"/>
      <name val="Tahoma"/>
      <charset val="134"/>
    </font>
    <font>
      <i/>
      <sz val="10"/>
      <color indexed="17"/>
      <name val="Tahoma"/>
      <charset val="134"/>
    </font>
    <font>
      <b/>
      <sz val="10"/>
      <color indexed="9"/>
      <name val="Tahoma"/>
      <charset val="134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sz val="10"/>
      <color indexed="8"/>
      <name val="Times New Roman"/>
      <charset val="134"/>
    </font>
    <font>
      <sz val="10"/>
      <name val="Times New Roman"/>
      <charset val="134"/>
    </font>
    <font>
      <sz val="10"/>
      <color indexed="10"/>
      <name val="Times New Roman"/>
      <charset val="134"/>
    </font>
    <font>
      <b/>
      <sz val="10"/>
      <name val="Times New Roman"/>
      <charset val="134"/>
    </font>
    <font>
      <i/>
      <sz val="10"/>
      <color indexed="17"/>
      <name val="Times New Roman"/>
      <charset val="134"/>
    </font>
    <font>
      <b/>
      <sz val="10"/>
      <color indexed="8"/>
      <name val="Times New Roman"/>
      <charset val="134"/>
    </font>
    <font>
      <b/>
      <sz val="10"/>
      <color indexed="9"/>
      <name val="Times New Roman"/>
      <charset val="134"/>
    </font>
    <font>
      <sz val="10"/>
      <name val="Times New Roman"/>
      <charset val="128"/>
    </font>
    <font>
      <b/>
      <sz val="10"/>
      <color indexed="10"/>
      <name val="Times New Roman"/>
      <charset val="134"/>
    </font>
    <font>
      <b/>
      <sz val="10"/>
      <color theme="1"/>
      <name val="Times New Roman"/>
      <charset val="128"/>
    </font>
    <font>
      <sz val="10"/>
      <color theme="1"/>
      <name val="Times New Roman"/>
      <charset val="128"/>
    </font>
    <font>
      <sz val="10"/>
      <color theme="1"/>
      <name val="Times New Roman"/>
      <charset val="134"/>
    </font>
    <font>
      <b/>
      <sz val="10"/>
      <color indexed="8"/>
      <name val="Tahoma"/>
      <charset val="134"/>
    </font>
    <font>
      <b/>
      <sz val="10"/>
      <color indexed="10"/>
      <name val="Tahoma"/>
      <charset val="134"/>
    </font>
    <font>
      <u/>
      <sz val="11"/>
      <color rgb="FF800080"/>
      <name val="ＭＳ Ｐゴシック"/>
      <charset val="128"/>
    </font>
    <font>
      <u/>
      <sz val="10"/>
      <color indexed="12"/>
      <name val="Tahoma"/>
      <charset val="134"/>
    </font>
    <font>
      <b/>
      <sz val="22"/>
      <color indexed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indexed="12"/>
      <name val="ＭＳ Ｐゴシック"/>
      <charset val="128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  <font>
      <sz val="11"/>
      <color theme="1"/>
      <name val="Calibri"/>
      <charset val="128"/>
      <scheme val="minor"/>
    </font>
    <font>
      <sz val="9"/>
      <name val="ＭＳ ゴシック"/>
      <charset val="128"/>
    </font>
    <font>
      <b/>
      <sz val="10"/>
      <color indexed="8"/>
      <name val="Times New Roman"/>
      <charset val="134"/>
    </font>
    <font>
      <sz val="10"/>
      <color indexed="8"/>
      <name val="Times New Roman"/>
      <charset val="134"/>
    </font>
    <font>
      <b/>
      <sz val="8"/>
      <name val="Tahoma"/>
      <charset val="134"/>
    </font>
    <font>
      <sz val="8"/>
      <name val="Tahoma"/>
      <charset val="134"/>
    </font>
    <font>
      <b/>
      <sz val="8"/>
      <color indexed="8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7" fillId="6" borderId="3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37" applyNumberFormat="0" applyAlignment="0" applyProtection="0">
      <alignment vertical="center"/>
    </xf>
    <xf numFmtId="0" fontId="37" fillId="8" borderId="38" applyNumberFormat="0" applyAlignment="0" applyProtection="0">
      <alignment vertical="center"/>
    </xf>
    <xf numFmtId="0" fontId="38" fillId="8" borderId="37" applyNumberFormat="0" applyAlignment="0" applyProtection="0">
      <alignment vertical="center"/>
    </xf>
    <xf numFmtId="0" fontId="39" fillId="9" borderId="39" applyNumberFormat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1" fillId="0" borderId="41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7" fillId="0" borderId="0"/>
    <xf numFmtId="0" fontId="48" fillId="0" borderId="0"/>
    <xf numFmtId="0" fontId="27" fillId="0" borderId="0"/>
    <xf numFmtId="0" fontId="0" fillId="0" borderId="0"/>
    <xf numFmtId="0" fontId="0" fillId="0" borderId="0"/>
    <xf numFmtId="0" fontId="49" fillId="0" borderId="0"/>
  </cellStyleXfs>
  <cellXfs count="146">
    <xf numFmtId="0" fontId="0" fillId="0" borderId="0" xfId="0"/>
    <xf numFmtId="0" fontId="1" fillId="2" borderId="0" xfId="0" applyFont="1" applyFill="1"/>
    <xf numFmtId="0" fontId="2" fillId="2" borderId="0" xfId="52" applyFont="1" applyFill="1" applyAlignment="1">
      <alignment horizontal="center"/>
    </xf>
    <xf numFmtId="0" fontId="3" fillId="2" borderId="0" xfId="52" applyFont="1" applyFill="1"/>
    <xf numFmtId="0" fontId="1" fillId="2" borderId="0" xfId="52" applyFont="1" applyFill="1"/>
    <xf numFmtId="178" fontId="1" fillId="2" borderId="0" xfId="52" applyNumberFormat="1" applyFont="1" applyFill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0" fontId="5" fillId="2" borderId="1" xfId="52" applyFont="1" applyFill="1" applyBorder="1" applyAlignment="1">
      <alignment vertical="top"/>
    </xf>
    <xf numFmtId="0" fontId="4" fillId="2" borderId="0" xfId="0" applyFont="1" applyFill="1"/>
    <xf numFmtId="0" fontId="5" fillId="2" borderId="0" xfId="52" applyFont="1" applyFill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6" fillId="3" borderId="12" xfId="0" applyFont="1" applyFill="1" applyBorder="1"/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2" fontId="8" fillId="2" borderId="0" xfId="0" applyNumberFormat="1" applyFont="1" applyFill="1" applyAlignment="1">
      <alignment horizontal="right" wrapText="1"/>
    </xf>
    <xf numFmtId="0" fontId="9" fillId="2" borderId="0" xfId="0" applyFont="1" applyFill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0" fillId="2" borderId="15" xfId="0" applyFont="1" applyFill="1" applyBorder="1"/>
    <xf numFmtId="0" fontId="10" fillId="2" borderId="15" xfId="0" applyFont="1" applyFill="1" applyBorder="1" applyAlignment="1">
      <alignment wrapText="1"/>
    </xf>
    <xf numFmtId="0" fontId="11" fillId="2" borderId="15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3" fillId="2" borderId="16" xfId="53" applyFont="1" applyFill="1" applyBorder="1" applyAlignment="1">
      <alignment horizontal="left" wrapText="1"/>
    </xf>
    <xf numFmtId="0" fontId="14" fillId="2" borderId="17" xfId="53" applyFont="1" applyFill="1" applyBorder="1" applyAlignment="1">
      <alignment horizontal="left" vertical="center" wrapText="1"/>
    </xf>
    <xf numFmtId="0" fontId="13" fillId="2" borderId="18" xfId="53" applyFont="1" applyFill="1" applyBorder="1" applyAlignment="1">
      <alignment horizontal="left" wrapText="1"/>
    </xf>
    <xf numFmtId="0" fontId="15" fillId="2" borderId="18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6" fillId="3" borderId="1" xfId="53" applyFont="1" applyFill="1" applyBorder="1" applyAlignment="1">
      <alignment horizontal="center" vertical="center" wrapText="1"/>
    </xf>
    <xf numFmtId="0" fontId="16" fillId="3" borderId="20" xfId="53" applyFont="1" applyFill="1" applyBorder="1" applyAlignment="1">
      <alignment horizontal="center" vertical="center" wrapText="1"/>
    </xf>
    <xf numFmtId="0" fontId="13" fillId="4" borderId="21" xfId="53" applyFont="1" applyFill="1" applyBorder="1" applyAlignment="1">
      <alignment horizontal="left" vertical="center"/>
    </xf>
    <xf numFmtId="0" fontId="13" fillId="4" borderId="22" xfId="53" applyFont="1" applyFill="1" applyBorder="1" applyAlignment="1">
      <alignment horizontal="left" vertical="center"/>
    </xf>
    <xf numFmtId="0" fontId="13" fillId="4" borderId="2" xfId="53" applyFont="1" applyFill="1" applyBorder="1" applyAlignment="1">
      <alignment horizontal="left" vertical="center"/>
    </xf>
    <xf numFmtId="0" fontId="11" fillId="2" borderId="1" xfId="53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17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center" wrapText="1"/>
    </xf>
    <xf numFmtId="0" fontId="18" fillId="2" borderId="0" xfId="53" applyFont="1" applyFill="1" applyAlignment="1">
      <alignment horizontal="center" vertical="center" wrapText="1"/>
    </xf>
    <xf numFmtId="0" fontId="18" fillId="2" borderId="0" xfId="53" applyFont="1" applyFill="1" applyAlignment="1">
      <alignment horizontal="left" vertical="center"/>
    </xf>
    <xf numFmtId="0" fontId="12" fillId="2" borderId="0" xfId="0" applyFont="1" applyFill="1" applyAlignment="1">
      <alignment vertical="top" wrapText="1"/>
    </xf>
    <xf numFmtId="0" fontId="19" fillId="0" borderId="0" xfId="50" applyFont="1" applyAlignment="1">
      <alignment horizontal="center" vertical="center"/>
    </xf>
    <xf numFmtId="0" fontId="20" fillId="0" borderId="0" xfId="50" applyFont="1" applyAlignment="1">
      <alignment horizontal="left" vertical="center" wrapText="1"/>
    </xf>
    <xf numFmtId="0" fontId="20" fillId="0" borderId="0" xfId="50" applyFont="1" applyAlignment="1">
      <alignment vertical="center" wrapText="1"/>
    </xf>
    <xf numFmtId="0" fontId="20" fillId="0" borderId="0" xfId="50" applyFont="1" applyAlignment="1">
      <alignment vertical="center"/>
    </xf>
    <xf numFmtId="0" fontId="21" fillId="0" borderId="24" xfId="50" applyFont="1" applyBorder="1" applyAlignment="1">
      <alignment horizontal="center" vertical="center" wrapText="1"/>
    </xf>
    <xf numFmtId="0" fontId="21" fillId="0" borderId="24" xfId="50" applyFont="1" applyBorder="1" applyAlignment="1">
      <alignment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21" fillId="0" borderId="25" xfId="50" applyFont="1" applyBorder="1" applyAlignment="1">
      <alignment horizontal="center" vertical="center" wrapText="1"/>
    </xf>
    <xf numFmtId="0" fontId="21" fillId="0" borderId="26" xfId="50" applyFont="1" applyBorder="1" applyAlignment="1">
      <alignment horizontal="center" vertical="center" wrapText="1"/>
    </xf>
    <xf numFmtId="0" fontId="21" fillId="0" borderId="27" xfId="50" applyFont="1" applyBorder="1" applyAlignment="1">
      <alignment horizontal="center" vertical="center" wrapText="1"/>
    </xf>
    <xf numFmtId="0" fontId="21" fillId="0" borderId="24" xfId="50" applyFont="1" applyBorder="1" applyAlignment="1">
      <alignment horizontal="left" vertical="center" wrapText="1"/>
    </xf>
    <xf numFmtId="0" fontId="20" fillId="0" borderId="24" xfId="50" applyFont="1" applyBorder="1" applyAlignment="1">
      <alignment horizontal="left" vertical="center" wrapText="1"/>
    </xf>
    <xf numFmtId="0" fontId="20" fillId="0" borderId="24" xfId="50" applyFont="1" applyBorder="1" applyAlignment="1">
      <alignment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Protection="1">
      <protection hidden="1"/>
    </xf>
    <xf numFmtId="0" fontId="2" fillId="2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1" fontId="4" fillId="2" borderId="21" xfId="0" applyNumberFormat="1" applyFont="1" applyFill="1" applyBorder="1"/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1" fontId="4" fillId="2" borderId="0" xfId="0" applyNumberFormat="1" applyFont="1" applyFill="1"/>
    <xf numFmtId="1" fontId="1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/>
    </xf>
    <xf numFmtId="1" fontId="6" fillId="5" borderId="28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1" fontId="1" fillId="2" borderId="30" xfId="0" applyNumberFormat="1" applyFont="1" applyFill="1" applyBorder="1" applyAlignment="1">
      <alignment vertical="center"/>
    </xf>
    <xf numFmtId="49" fontId="1" fillId="2" borderId="9" xfId="0" applyNumberFormat="1" applyFont="1" applyFill="1" applyBorder="1" applyAlignment="1">
      <alignment horizontal="left" vertical="center" wrapText="1"/>
    </xf>
    <xf numFmtId="0" fontId="24" fillId="2" borderId="9" xfId="6" applyNumberFormat="1" applyFont="1" applyFill="1" applyBorder="1" applyAlignment="1" applyProtection="1">
      <alignment horizontal="left" vertical="center"/>
    </xf>
    <xf numFmtId="0" fontId="25" fillId="2" borderId="9" xfId="6" applyNumberFormat="1" applyFont="1" applyFill="1" applyBorder="1" applyAlignment="1" applyProtection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49" fontId="1" fillId="2" borderId="9" xfId="0" applyNumberFormat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12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26" fillId="2" borderId="0" xfId="0" applyFont="1" applyFill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1" fillId="0" borderId="2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inden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6" fillId="3" borderId="28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5" fillId="0" borderId="30" xfId="0" applyFont="1" applyBorder="1" applyAlignment="1">
      <alignment vertical="top" wrapText="1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0" fontId="5" fillId="0" borderId="31" xfId="0" applyFont="1" applyBorder="1" applyAlignment="1">
      <alignment vertical="top" wrapText="1"/>
    </xf>
    <xf numFmtId="178" fontId="1" fillId="0" borderId="30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178" fontId="1" fillId="0" borderId="32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33" xfId="0" applyFont="1" applyBorder="1" applyAlignment="1">
      <alignment vertical="top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_Functional Test Case v1.0" xfId="52"/>
    <cellStyle name="Normal_Sheet1" xfId="53"/>
    <cellStyle name="標準_結合試験(AllOvertheWorld)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1130521-NguyenDucTai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est case List"/>
      <sheetName val="TestDesign"/>
      <sheetName val="Module1"/>
      <sheetName val="Module2"/>
      <sheetName val="Test Report"/>
    </sheetNames>
    <sheetDataSet>
      <sheetData sheetId="0"/>
      <sheetData sheetId="1"/>
      <sheetData sheetId="2"/>
      <sheetData sheetId="3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4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G18"/>
  <sheetViews>
    <sheetView workbookViewId="0">
      <selection activeCell="G24" sqref="G24"/>
    </sheetView>
  </sheetViews>
  <sheetFormatPr defaultColWidth="9" defaultRowHeight="12.75" outlineLevelCol="6"/>
  <cols>
    <col min="1" max="1" width="2.25" style="118" customWidth="1"/>
    <col min="2" max="2" width="19.625" style="119" customWidth="1"/>
    <col min="3" max="3" width="9.25" style="118" customWidth="1"/>
    <col min="4" max="4" width="14.5" style="118" customWidth="1"/>
    <col min="5" max="5" width="19.625" style="118" customWidth="1"/>
    <col min="6" max="6" width="31.125" style="118" customWidth="1"/>
    <col min="7" max="7" width="31" style="118" customWidth="1"/>
    <col min="8" max="16384" width="9" style="118"/>
  </cols>
  <sheetData>
    <row r="2" s="115" customFormat="1" ht="75.75" customHeight="1" spans="1:7">
      <c r="A2" s="120"/>
      <c r="B2" s="121" t="s">
        <v>0</v>
      </c>
      <c r="C2" s="122"/>
      <c r="D2" s="122"/>
      <c r="E2" s="122"/>
      <c r="F2" s="122"/>
      <c r="G2" s="123"/>
    </row>
    <row r="3" spans="2:6">
      <c r="B3" s="124"/>
      <c r="C3" s="125"/>
      <c r="F3" s="1"/>
    </row>
    <row r="4" ht="14.25" customHeight="1" spans="2:7">
      <c r="B4" s="8" t="s">
        <v>1</v>
      </c>
      <c r="C4" s="7" t="s">
        <v>2</v>
      </c>
      <c r="D4" s="7"/>
      <c r="E4" s="7"/>
      <c r="F4" s="8" t="s">
        <v>3</v>
      </c>
      <c r="G4" s="126"/>
    </row>
    <row r="5" ht="14.25" customHeight="1" spans="2:7">
      <c r="B5" s="8" t="s">
        <v>4</v>
      </c>
      <c r="C5" s="127" t="s">
        <v>5</v>
      </c>
      <c r="D5" s="127"/>
      <c r="E5" s="127"/>
      <c r="F5" s="8" t="s">
        <v>6</v>
      </c>
      <c r="G5" s="126"/>
    </row>
    <row r="6" ht="15.75" customHeight="1" spans="2:7">
      <c r="B6" s="6" t="s">
        <v>7</v>
      </c>
      <c r="C6" s="128" t="str">
        <f>C5&amp;"_"&amp;"XXX"&amp;"_"&amp;"vx.x"</f>
        <v>&lt;Project Code&gt;_XXX_vx.x</v>
      </c>
      <c r="D6" s="128"/>
      <c r="E6" s="128"/>
      <c r="F6" s="8" t="s">
        <v>8</v>
      </c>
      <c r="G6" s="129"/>
    </row>
    <row r="7" ht="13.5" customHeight="1" spans="2:7">
      <c r="B7" s="6"/>
      <c r="C7" s="128"/>
      <c r="D7" s="128"/>
      <c r="E7" s="128"/>
      <c r="F7" s="8" t="s">
        <v>9</v>
      </c>
      <c r="G7" s="129"/>
    </row>
    <row r="8" spans="2:7">
      <c r="B8" s="14"/>
      <c r="C8" s="130"/>
      <c r="F8" s="124"/>
      <c r="G8" s="125"/>
    </row>
    <row r="10" spans="2:2">
      <c r="B10" s="131" t="s">
        <v>10</v>
      </c>
    </row>
    <row r="11" s="116" customFormat="1" spans="2:7">
      <c r="B11" s="132" t="s">
        <v>11</v>
      </c>
      <c r="C11" s="133" t="s">
        <v>9</v>
      </c>
      <c r="D11" s="133" t="s">
        <v>12</v>
      </c>
      <c r="E11" s="133" t="s">
        <v>13</v>
      </c>
      <c r="F11" s="133" t="s">
        <v>14</v>
      </c>
      <c r="G11" s="134" t="s">
        <v>15</v>
      </c>
    </row>
    <row r="12" s="117" customFormat="1" ht="25.5" spans="2:7">
      <c r="B12" s="135" t="s">
        <v>16</v>
      </c>
      <c r="C12" s="136"/>
      <c r="D12" s="137"/>
      <c r="E12" s="137"/>
      <c r="F12" s="138"/>
      <c r="G12" s="139" t="s">
        <v>17</v>
      </c>
    </row>
    <row r="13" s="117" customFormat="1" ht="21.75" customHeight="1" spans="2:7">
      <c r="B13" s="140"/>
      <c r="C13" s="136"/>
      <c r="D13" s="137"/>
      <c r="E13" s="137"/>
      <c r="F13" s="137"/>
      <c r="G13" s="141"/>
    </row>
    <row r="14" s="117" customFormat="1" ht="19.5" customHeight="1" spans="2:7">
      <c r="B14" s="140"/>
      <c r="C14" s="136"/>
      <c r="D14" s="137"/>
      <c r="E14" s="137"/>
      <c r="F14" s="137"/>
      <c r="G14" s="141"/>
    </row>
    <row r="15" s="117" customFormat="1" ht="21.75" customHeight="1" spans="2:7">
      <c r="B15" s="140"/>
      <c r="C15" s="136"/>
      <c r="D15" s="137"/>
      <c r="E15" s="137"/>
      <c r="F15" s="137"/>
      <c r="G15" s="141"/>
    </row>
    <row r="16" s="117" customFormat="1" ht="19.5" customHeight="1" spans="2:7">
      <c r="B16" s="140"/>
      <c r="C16" s="136"/>
      <c r="D16" s="137"/>
      <c r="E16" s="137"/>
      <c r="F16" s="137"/>
      <c r="G16" s="141"/>
    </row>
    <row r="17" s="117" customFormat="1" ht="21.75" customHeight="1" spans="2:7">
      <c r="B17" s="140"/>
      <c r="C17" s="136"/>
      <c r="D17" s="137"/>
      <c r="E17" s="137"/>
      <c r="F17" s="137"/>
      <c r="G17" s="141"/>
    </row>
    <row r="18" s="117" customFormat="1" ht="19.5" customHeight="1" spans="2:7">
      <c r="B18" s="142"/>
      <c r="C18" s="143"/>
      <c r="D18" s="144"/>
      <c r="E18" s="144"/>
      <c r="F18" s="144"/>
      <c r="G18" s="145"/>
    </row>
  </sheetData>
  <mergeCells count="5">
    <mergeCell ref="B2:G2"/>
    <mergeCell ref="C4:E4"/>
    <mergeCell ref="C5:E5"/>
    <mergeCell ref="B6:B7"/>
    <mergeCell ref="C6:E7"/>
  </mergeCells>
  <pageMargins left="0.470138888888889" right="0.470138888888889" top="0.5" bottom="0.351388888888889" header="0.511805555555556" footer="0.170138888888889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F21"/>
  <sheetViews>
    <sheetView workbookViewId="0">
      <selection activeCell="D5" sqref="D5:F5"/>
    </sheetView>
  </sheetViews>
  <sheetFormatPr defaultColWidth="9" defaultRowHeight="12.75" outlineLevelCol="5"/>
  <cols>
    <col min="1" max="1" width="1.375" style="1" customWidth="1"/>
    <col min="2" max="2" width="11.75" style="88" customWidth="1"/>
    <col min="3" max="3" width="34.125" style="89" customWidth="1"/>
    <col min="4" max="4" width="17.125" style="89" customWidth="1"/>
    <col min="5" max="5" width="28.125" style="89" customWidth="1"/>
    <col min="6" max="6" width="30.625" style="89" customWidth="1"/>
    <col min="7" max="16384" width="9" style="1"/>
  </cols>
  <sheetData>
    <row r="1" ht="25.5" spans="2:5">
      <c r="B1" s="90"/>
      <c r="D1" s="91" t="s">
        <v>18</v>
      </c>
      <c r="E1" s="92"/>
    </row>
    <row r="2" ht="13.5" customHeight="1" spans="2:5">
      <c r="B2" s="90"/>
      <c r="D2" s="93"/>
      <c r="E2" s="93"/>
    </row>
    <row r="3" spans="2:6">
      <c r="B3" s="94" t="s">
        <v>1</v>
      </c>
      <c r="C3" s="94"/>
      <c r="D3" s="7" t="s">
        <v>2</v>
      </c>
      <c r="E3" s="7"/>
      <c r="F3" s="7"/>
    </row>
    <row r="4" spans="2:6">
      <c r="B4" s="94" t="s">
        <v>4</v>
      </c>
      <c r="C4" s="94"/>
      <c r="D4" s="7" t="str">
        <f>Cover!C5</f>
        <v>&lt;Project Code&gt;</v>
      </c>
      <c r="E4" s="7"/>
      <c r="F4" s="7"/>
    </row>
    <row r="5" s="85" customFormat="1" ht="84.75" customHeight="1" spans="2:6">
      <c r="B5" s="95" t="s">
        <v>19</v>
      </c>
      <c r="C5" s="95"/>
      <c r="D5" s="96" t="s">
        <v>20</v>
      </c>
      <c r="E5" s="96"/>
      <c r="F5" s="96"/>
    </row>
    <row r="6" spans="2:6">
      <c r="B6" s="97"/>
      <c r="C6" s="1"/>
      <c r="D6" s="1"/>
      <c r="E6" s="1"/>
      <c r="F6" s="1"/>
    </row>
    <row r="7" s="86" customFormat="1" spans="2:6">
      <c r="B7" s="98"/>
      <c r="C7" s="99"/>
      <c r="D7" s="99"/>
      <c r="E7" s="99"/>
      <c r="F7" s="99"/>
    </row>
    <row r="8" s="87" customFormat="1" ht="21" customHeight="1" spans="2:6">
      <c r="B8" s="100" t="s">
        <v>21</v>
      </c>
      <c r="C8" s="101" t="s">
        <v>22</v>
      </c>
      <c r="D8" s="101" t="s">
        <v>23</v>
      </c>
      <c r="E8" s="102" t="s">
        <v>24</v>
      </c>
      <c r="F8" s="103" t="s">
        <v>25</v>
      </c>
    </row>
    <row r="9" ht="13.5" spans="2:6">
      <c r="B9" s="104">
        <v>1</v>
      </c>
      <c r="C9" s="105" t="s">
        <v>26</v>
      </c>
      <c r="D9" s="106" t="s">
        <v>27</v>
      </c>
      <c r="E9" s="107"/>
      <c r="F9" s="108"/>
    </row>
    <row r="10" ht="13.5" spans="2:6">
      <c r="B10" s="104">
        <v>2</v>
      </c>
      <c r="C10" s="109" t="s">
        <v>28</v>
      </c>
      <c r="D10" s="106" t="s">
        <v>29</v>
      </c>
      <c r="E10" s="107"/>
      <c r="F10" s="108"/>
    </row>
    <row r="11" spans="2:6">
      <c r="B11" s="104"/>
      <c r="C11" s="109"/>
      <c r="D11" s="107"/>
      <c r="E11" s="107"/>
      <c r="F11" s="108"/>
    </row>
    <row r="12" spans="2:6">
      <c r="B12" s="104"/>
      <c r="C12" s="109"/>
      <c r="D12" s="107"/>
      <c r="E12" s="107"/>
      <c r="F12" s="108"/>
    </row>
    <row r="13" spans="2:6">
      <c r="B13" s="104"/>
      <c r="C13" s="109"/>
      <c r="D13" s="107"/>
      <c r="E13" s="107"/>
      <c r="F13" s="108"/>
    </row>
    <row r="14" spans="2:6">
      <c r="B14" s="104"/>
      <c r="C14" s="109"/>
      <c r="D14" s="110"/>
      <c r="E14" s="110"/>
      <c r="F14" s="108"/>
    </row>
    <row r="15" spans="2:6">
      <c r="B15" s="104"/>
      <c r="C15" s="109"/>
      <c r="D15" s="110"/>
      <c r="E15" s="110"/>
      <c r="F15" s="108"/>
    </row>
    <row r="16" spans="2:6">
      <c r="B16" s="104"/>
      <c r="C16" s="109"/>
      <c r="D16" s="110"/>
      <c r="E16" s="110"/>
      <c r="F16" s="108"/>
    </row>
    <row r="17" spans="2:6">
      <c r="B17" s="104"/>
      <c r="C17" s="109"/>
      <c r="D17" s="110"/>
      <c r="E17" s="110"/>
      <c r="F17" s="108"/>
    </row>
    <row r="18" spans="2:6">
      <c r="B18" s="104"/>
      <c r="C18" s="109"/>
      <c r="D18" s="110"/>
      <c r="E18" s="110"/>
      <c r="F18" s="108"/>
    </row>
    <row r="19" spans="2:6">
      <c r="B19" s="104"/>
      <c r="C19" s="109"/>
      <c r="D19" s="110"/>
      <c r="E19" s="110"/>
      <c r="F19" s="108"/>
    </row>
    <row r="20" spans="2:6">
      <c r="B20" s="104"/>
      <c r="C20" s="109"/>
      <c r="D20" s="110"/>
      <c r="E20" s="110"/>
      <c r="F20" s="108"/>
    </row>
    <row r="21" spans="2:6">
      <c r="B21" s="111"/>
      <c r="C21" s="112"/>
      <c r="D21" s="113"/>
      <c r="E21" s="113"/>
      <c r="F21" s="114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Module 03'!A1" display="Module 03"/>
    <hyperlink ref="D10" location="'Module 13'!A1" display="Module 13"/>
  </hyperlinks>
  <pageMargins left="0.747916666666667" right="0.747916666666667" top="0.984027777777778" bottom="1.15069444444444" header="0.511805555555556" footer="0.984027777777778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37"/>
  <sheetViews>
    <sheetView zoomScaleSheetLayoutView="115" topLeftCell="A7" workbookViewId="0">
      <selection activeCell="I18" sqref="I18"/>
    </sheetView>
  </sheetViews>
  <sheetFormatPr defaultColWidth="7.875" defaultRowHeight="12.75" outlineLevelCol="5"/>
  <cols>
    <col min="1" max="3" width="15.625" style="73" customWidth="1"/>
    <col min="4" max="4" width="52.5" style="74" customWidth="1"/>
    <col min="5" max="5" width="10.75" style="73" customWidth="1"/>
    <col min="6" max="6" width="27.5" style="74" customWidth="1"/>
    <col min="7" max="16384" width="7.875" style="75"/>
  </cols>
  <sheetData>
    <row r="1" s="72" customFormat="1" ht="13.5" spans="1:6">
      <c r="A1" s="58" t="s">
        <v>30</v>
      </c>
      <c r="B1" s="58" t="s">
        <v>31</v>
      </c>
      <c r="C1" s="58" t="s">
        <v>32</v>
      </c>
      <c r="D1" s="58" t="s">
        <v>33</v>
      </c>
      <c r="E1" s="58" t="s">
        <v>34</v>
      </c>
      <c r="F1" s="58" t="s">
        <v>35</v>
      </c>
    </row>
    <row r="2" ht="13.5" spans="1:6">
      <c r="A2" s="76" t="s">
        <v>36</v>
      </c>
      <c r="B2" s="76" t="s">
        <v>37</v>
      </c>
      <c r="C2" s="76" t="s">
        <v>38</v>
      </c>
      <c r="D2" s="77" t="s">
        <v>39</v>
      </c>
      <c r="E2" s="77" t="s">
        <v>40</v>
      </c>
      <c r="F2" s="77"/>
    </row>
    <row r="3" ht="13.5" spans="1:6">
      <c r="A3" s="76"/>
      <c r="B3" s="76"/>
      <c r="C3" s="76"/>
      <c r="D3" s="78" t="s">
        <v>41</v>
      </c>
      <c r="E3" s="77" t="s">
        <v>42</v>
      </c>
      <c r="F3" s="77"/>
    </row>
    <row r="4" ht="13.5" spans="1:6">
      <c r="A4" s="76"/>
      <c r="B4" s="76"/>
      <c r="C4" s="76"/>
      <c r="D4" s="78" t="s">
        <v>43</v>
      </c>
      <c r="E4" s="77" t="s">
        <v>42</v>
      </c>
      <c r="F4" s="77"/>
    </row>
    <row r="5" ht="13.5" spans="1:6">
      <c r="A5" s="76"/>
      <c r="B5" s="76" t="s">
        <v>44</v>
      </c>
      <c r="C5" s="76" t="s">
        <v>45</v>
      </c>
      <c r="D5" s="78" t="s">
        <v>46</v>
      </c>
      <c r="E5" s="77" t="s">
        <v>40</v>
      </c>
      <c r="F5" s="77"/>
    </row>
    <row r="6" ht="13.5" spans="1:6">
      <c r="A6" s="76"/>
      <c r="B6" s="76"/>
      <c r="C6" s="76"/>
      <c r="D6" s="78" t="s">
        <v>47</v>
      </c>
      <c r="E6" s="77" t="s">
        <v>42</v>
      </c>
      <c r="F6" s="77"/>
    </row>
    <row r="7" ht="13.5" spans="1:6">
      <c r="A7" s="76"/>
      <c r="B7" s="76"/>
      <c r="C7" s="76"/>
      <c r="D7" s="78" t="s">
        <v>48</v>
      </c>
      <c r="E7" s="77" t="s">
        <v>42</v>
      </c>
      <c r="F7" s="77"/>
    </row>
    <row r="8" ht="13.5" spans="1:6">
      <c r="A8" s="76"/>
      <c r="B8" s="76" t="s">
        <v>49</v>
      </c>
      <c r="C8" s="76" t="s">
        <v>50</v>
      </c>
      <c r="D8" s="78" t="s">
        <v>51</v>
      </c>
      <c r="E8" s="77" t="s">
        <v>40</v>
      </c>
      <c r="F8" s="77"/>
    </row>
    <row r="9" ht="13.5" spans="1:6">
      <c r="A9" s="76"/>
      <c r="B9" s="76"/>
      <c r="C9" s="76"/>
      <c r="D9" s="78" t="s">
        <v>52</v>
      </c>
      <c r="E9" s="77" t="s">
        <v>42</v>
      </c>
      <c r="F9" s="77"/>
    </row>
    <row r="10" ht="13.5" spans="1:6">
      <c r="A10" s="76"/>
      <c r="B10" s="76"/>
      <c r="C10" s="76"/>
      <c r="D10" s="78" t="s">
        <v>53</v>
      </c>
      <c r="E10" s="77" t="s">
        <v>42</v>
      </c>
      <c r="F10" s="77"/>
    </row>
    <row r="11" ht="13.5" spans="1:6">
      <c r="A11" s="76"/>
      <c r="B11" s="76" t="s">
        <v>54</v>
      </c>
      <c r="C11" s="76" t="s">
        <v>55</v>
      </c>
      <c r="D11" s="78" t="s">
        <v>56</v>
      </c>
      <c r="E11" s="77" t="s">
        <v>57</v>
      </c>
      <c r="F11" s="77"/>
    </row>
    <row r="12" ht="13.5" spans="1:6">
      <c r="A12" s="76"/>
      <c r="B12" s="76"/>
      <c r="C12" s="76"/>
      <c r="D12" s="78" t="s">
        <v>58</v>
      </c>
      <c r="E12" s="77" t="s">
        <v>42</v>
      </c>
      <c r="F12" s="77"/>
    </row>
    <row r="13" ht="13.5" spans="1:6">
      <c r="A13" s="76"/>
      <c r="B13" s="76"/>
      <c r="C13" s="76"/>
      <c r="D13" s="78" t="s">
        <v>59</v>
      </c>
      <c r="E13" s="77" t="s">
        <v>42</v>
      </c>
      <c r="F13" s="77"/>
    </row>
    <row r="14" ht="13.5" spans="1:6">
      <c r="A14" s="76"/>
      <c r="B14" s="76" t="s">
        <v>60</v>
      </c>
      <c r="C14" s="76" t="s">
        <v>61</v>
      </c>
      <c r="D14" s="78" t="s">
        <v>62</v>
      </c>
      <c r="E14" s="77" t="s">
        <v>40</v>
      </c>
      <c r="F14" s="77"/>
    </row>
    <row r="15" ht="13.5" spans="1:6">
      <c r="A15" s="76"/>
      <c r="B15" s="76"/>
      <c r="C15" s="76"/>
      <c r="D15" s="78" t="s">
        <v>63</v>
      </c>
      <c r="E15" s="77" t="s">
        <v>42</v>
      </c>
      <c r="F15" s="77"/>
    </row>
    <row r="16" ht="13.5" spans="1:6">
      <c r="A16" s="76"/>
      <c r="B16" s="76"/>
      <c r="C16" s="76"/>
      <c r="D16" s="78" t="s">
        <v>64</v>
      </c>
      <c r="E16" s="77" t="s">
        <v>42</v>
      </c>
      <c r="F16" s="77"/>
    </row>
    <row r="17" ht="13.5" spans="1:6">
      <c r="A17" s="76"/>
      <c r="B17" s="76" t="s">
        <v>65</v>
      </c>
      <c r="C17" s="76" t="s">
        <v>66</v>
      </c>
      <c r="D17" s="78" t="s">
        <v>67</v>
      </c>
      <c r="E17" s="77" t="s">
        <v>57</v>
      </c>
      <c r="F17" s="77"/>
    </row>
    <row r="18" ht="13.5" spans="1:6">
      <c r="A18" s="76"/>
      <c r="B18" s="76"/>
      <c r="C18" s="76"/>
      <c r="D18" s="78" t="s">
        <v>68</v>
      </c>
      <c r="E18" s="77" t="s">
        <v>42</v>
      </c>
      <c r="F18" s="77"/>
    </row>
    <row r="19" ht="13.5" spans="1:6">
      <c r="A19" s="76"/>
      <c r="B19" s="76"/>
      <c r="C19" s="76"/>
      <c r="D19" s="78" t="s">
        <v>69</v>
      </c>
      <c r="E19" s="77" t="s">
        <v>42</v>
      </c>
      <c r="F19" s="77"/>
    </row>
    <row r="20" ht="13.5" spans="1:6">
      <c r="A20" s="79" t="s">
        <v>70</v>
      </c>
      <c r="B20" s="76" t="s">
        <v>71</v>
      </c>
      <c r="C20" s="76" t="s">
        <v>72</v>
      </c>
      <c r="D20" s="78" t="s">
        <v>73</v>
      </c>
      <c r="E20" s="77" t="s">
        <v>57</v>
      </c>
      <c r="F20" s="77"/>
    </row>
    <row r="21" ht="13.5" spans="1:6">
      <c r="A21" s="80"/>
      <c r="B21" s="76"/>
      <c r="C21" s="76"/>
      <c r="D21" s="78" t="s">
        <v>74</v>
      </c>
      <c r="E21" s="77" t="s">
        <v>42</v>
      </c>
      <c r="F21" s="77"/>
    </row>
    <row r="22" ht="13.5" spans="1:6">
      <c r="A22" s="80"/>
      <c r="B22" s="76"/>
      <c r="C22" s="76"/>
      <c r="D22" s="78" t="s">
        <v>75</v>
      </c>
      <c r="E22" s="77" t="s">
        <v>42</v>
      </c>
      <c r="F22" s="77"/>
    </row>
    <row r="23" ht="13.5" spans="1:6">
      <c r="A23" s="80"/>
      <c r="B23" s="76"/>
      <c r="C23" s="76" t="s">
        <v>76</v>
      </c>
      <c r="D23" s="78" t="s">
        <v>77</v>
      </c>
      <c r="E23" s="77" t="s">
        <v>57</v>
      </c>
      <c r="F23" s="77"/>
    </row>
    <row r="24" ht="13.5" spans="1:6">
      <c r="A24" s="80"/>
      <c r="B24" s="76"/>
      <c r="C24" s="76"/>
      <c r="D24" s="78" t="s">
        <v>78</v>
      </c>
      <c r="E24" s="77" t="s">
        <v>42</v>
      </c>
      <c r="F24" s="77"/>
    </row>
    <row r="25" ht="13.5" spans="1:6">
      <c r="A25" s="80"/>
      <c r="B25" s="79" t="s">
        <v>79</v>
      </c>
      <c r="C25" s="79" t="s">
        <v>80</v>
      </c>
      <c r="D25" s="78" t="s">
        <v>81</v>
      </c>
      <c r="E25" s="77" t="s">
        <v>57</v>
      </c>
      <c r="F25" s="77"/>
    </row>
    <row r="26" ht="13.5" spans="1:6">
      <c r="A26" s="80"/>
      <c r="B26" s="81"/>
      <c r="C26" s="81"/>
      <c r="D26" s="78" t="s">
        <v>82</v>
      </c>
      <c r="E26" s="77" t="s">
        <v>42</v>
      </c>
      <c r="F26" s="77"/>
    </row>
    <row r="27" ht="13.5" spans="1:6">
      <c r="A27" s="80"/>
      <c r="B27" s="79" t="s">
        <v>83</v>
      </c>
      <c r="C27" s="79" t="s">
        <v>84</v>
      </c>
      <c r="D27" s="78" t="s">
        <v>85</v>
      </c>
      <c r="E27" s="77" t="s">
        <v>57</v>
      </c>
      <c r="F27" s="77"/>
    </row>
    <row r="28" ht="13.5" spans="1:6">
      <c r="A28" s="80"/>
      <c r="B28" s="80"/>
      <c r="C28" s="80"/>
      <c r="D28" s="78" t="s">
        <v>86</v>
      </c>
      <c r="E28" s="77" t="s">
        <v>42</v>
      </c>
      <c r="F28" s="77"/>
    </row>
    <row r="29" ht="13.5" spans="1:6">
      <c r="A29" s="80"/>
      <c r="B29" s="81"/>
      <c r="C29" s="81"/>
      <c r="D29" s="78" t="s">
        <v>87</v>
      </c>
      <c r="E29" s="77" t="s">
        <v>42</v>
      </c>
      <c r="F29" s="77"/>
    </row>
    <row r="30" ht="13.5" spans="1:6">
      <c r="A30" s="80"/>
      <c r="B30" s="79" t="s">
        <v>88</v>
      </c>
      <c r="C30" s="79" t="s">
        <v>89</v>
      </c>
      <c r="D30" s="78" t="s">
        <v>90</v>
      </c>
      <c r="E30" s="77" t="s">
        <v>57</v>
      </c>
      <c r="F30" s="77"/>
    </row>
    <row r="31" ht="13.5" spans="1:6">
      <c r="A31" s="80"/>
      <c r="B31" s="80"/>
      <c r="C31" s="80"/>
      <c r="D31" s="78" t="s">
        <v>91</v>
      </c>
      <c r="E31" s="77" t="s">
        <v>42</v>
      </c>
      <c r="F31" s="77"/>
    </row>
    <row r="32" ht="13.5" spans="1:6">
      <c r="A32" s="80"/>
      <c r="B32" s="80"/>
      <c r="C32" s="81"/>
      <c r="D32" s="78" t="s">
        <v>92</v>
      </c>
      <c r="E32" s="77" t="s">
        <v>42</v>
      </c>
      <c r="F32" s="77"/>
    </row>
    <row r="33" ht="13.5" spans="1:6">
      <c r="A33" s="80"/>
      <c r="B33" s="80"/>
      <c r="C33" s="79" t="s">
        <v>93</v>
      </c>
      <c r="D33" s="78" t="s">
        <v>94</v>
      </c>
      <c r="E33" s="77" t="s">
        <v>57</v>
      </c>
      <c r="F33" s="77"/>
    </row>
    <row r="34" ht="13.5" spans="1:6">
      <c r="A34" s="80"/>
      <c r="B34" s="80"/>
      <c r="C34" s="80"/>
      <c r="D34" s="78" t="s">
        <v>95</v>
      </c>
      <c r="E34" s="77" t="s">
        <v>42</v>
      </c>
      <c r="F34" s="77"/>
    </row>
    <row r="35" ht="13.5" spans="1:6">
      <c r="A35" s="80"/>
      <c r="B35" s="81"/>
      <c r="C35" s="81"/>
      <c r="D35" s="78" t="s">
        <v>96</v>
      </c>
      <c r="E35" s="77" t="s">
        <v>42</v>
      </c>
      <c r="F35" s="77"/>
    </row>
    <row r="36" ht="26.25" spans="1:6">
      <c r="A36" s="80"/>
      <c r="B36" s="82" t="s">
        <v>97</v>
      </c>
      <c r="C36" s="82" t="s">
        <v>98</v>
      </c>
      <c r="D36" s="78" t="s">
        <v>99</v>
      </c>
      <c r="E36" s="77" t="s">
        <v>57</v>
      </c>
      <c r="F36" s="77"/>
    </row>
    <row r="37" ht="13.5" spans="1:6">
      <c r="A37" s="81"/>
      <c r="B37" s="83"/>
      <c r="C37" s="83"/>
      <c r="D37" s="84" t="s">
        <v>100</v>
      </c>
      <c r="E37" s="83" t="s">
        <v>42</v>
      </c>
      <c r="F37" s="84"/>
    </row>
  </sheetData>
  <autoFilter xmlns:etc="http://www.wps.cn/officeDocument/2017/etCustomData" ref="A1:F37" etc:filterBottomFollowUsedRange="0">
    <extLst/>
  </autoFilter>
  <mergeCells count="24">
    <mergeCell ref="A2:A19"/>
    <mergeCell ref="A20:A37"/>
    <mergeCell ref="B2:B4"/>
    <mergeCell ref="B5:B7"/>
    <mergeCell ref="B8:B10"/>
    <mergeCell ref="B11:B13"/>
    <mergeCell ref="B14:B16"/>
    <mergeCell ref="B17:B19"/>
    <mergeCell ref="B20:B24"/>
    <mergeCell ref="B25:B26"/>
    <mergeCell ref="B27:B29"/>
    <mergeCell ref="B30:B35"/>
    <mergeCell ref="C2:C4"/>
    <mergeCell ref="C5:C7"/>
    <mergeCell ref="C8:C10"/>
    <mergeCell ref="C11:C13"/>
    <mergeCell ref="C14:C16"/>
    <mergeCell ref="C17:C19"/>
    <mergeCell ref="C20:C22"/>
    <mergeCell ref="C23:C24"/>
    <mergeCell ref="C25:C26"/>
    <mergeCell ref="C27:C29"/>
    <mergeCell ref="C30:C32"/>
    <mergeCell ref="C33:C35"/>
  </mergeCells>
  <pageMargins left="0.393700787401575" right="0.393700787401575" top="0.393700787401575" bottom="0.393700787401575" header="0.196850393700787" footer="0.196850393700787"/>
  <pageSetup paperSize="9" scale="93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5"/>
  <sheetViews>
    <sheetView workbookViewId="0">
      <pane ySplit="8" topLeftCell="A9" activePane="bottomLeft" state="frozen"/>
      <selection/>
      <selection pane="bottomLeft" activeCell="G10" sqref="G10:G15"/>
    </sheetView>
  </sheetViews>
  <sheetFormatPr defaultColWidth="9" defaultRowHeight="12.75"/>
  <cols>
    <col min="1" max="1" width="11.75" style="38" customWidth="1"/>
    <col min="2" max="2" width="29" style="38" customWidth="1"/>
    <col min="3" max="3" width="46.25" style="38" customWidth="1"/>
    <col min="4" max="4" width="53.25" style="38" customWidth="1"/>
    <col min="5" max="5" width="16.875" style="38" customWidth="1"/>
    <col min="6" max="6" width="7.125" style="38" customWidth="1"/>
    <col min="7" max="7" width="9" style="38"/>
    <col min="8" max="8" width="17.625" style="38" customWidth="1"/>
    <col min="9" max="9" width="8.25" style="39" customWidth="1"/>
    <col min="10" max="10" width="9" style="38" hidden="1" customWidth="1"/>
    <col min="11" max="16384" width="9" style="38"/>
  </cols>
  <sheetData>
    <row r="1" s="37" customFormat="1" ht="13.5" spans="1:9">
      <c r="A1" s="40" t="s">
        <v>101</v>
      </c>
      <c r="B1" s="41"/>
      <c r="C1" s="41"/>
      <c r="D1" s="41"/>
      <c r="E1" s="41"/>
      <c r="F1" s="42"/>
      <c r="G1" s="43"/>
      <c r="H1" s="44"/>
      <c r="I1" s="67"/>
    </row>
    <row r="2" s="37" customFormat="1" ht="15" customHeight="1" spans="1:10">
      <c r="A2" s="45" t="s">
        <v>102</v>
      </c>
      <c r="B2" s="46" t="s">
        <v>103</v>
      </c>
      <c r="C2" s="46"/>
      <c r="D2" s="46"/>
      <c r="E2" s="46"/>
      <c r="F2" s="46"/>
      <c r="G2" s="46"/>
      <c r="H2" s="46"/>
      <c r="I2" s="67"/>
      <c r="J2" s="37" t="s">
        <v>104</v>
      </c>
    </row>
    <row r="3" s="37" customFormat="1" ht="25.5" customHeight="1" spans="1:10">
      <c r="A3" s="47" t="s">
        <v>105</v>
      </c>
      <c r="B3" s="46" t="s">
        <v>106</v>
      </c>
      <c r="C3" s="46"/>
      <c r="D3" s="46"/>
      <c r="E3" s="46"/>
      <c r="F3" s="46"/>
      <c r="G3" s="46"/>
      <c r="H3" s="46"/>
      <c r="I3" s="67"/>
      <c r="J3" s="37" t="s">
        <v>107</v>
      </c>
    </row>
    <row r="4" s="37" customFormat="1" ht="18" customHeight="1" spans="1:10">
      <c r="A4" s="45" t="s">
        <v>108</v>
      </c>
      <c r="B4" s="46" t="s">
        <v>109</v>
      </c>
      <c r="C4" s="46"/>
      <c r="D4" s="46"/>
      <c r="E4" s="46"/>
      <c r="F4" s="46"/>
      <c r="G4" s="46"/>
      <c r="H4" s="46"/>
      <c r="I4" s="67"/>
      <c r="J4" s="37" t="s">
        <v>110</v>
      </c>
    </row>
    <row r="5" s="37" customFormat="1" ht="19.5" customHeight="1" spans="1:10">
      <c r="A5" s="48" t="s">
        <v>104</v>
      </c>
      <c r="B5" s="49" t="s">
        <v>107</v>
      </c>
      <c r="C5" s="49" t="s">
        <v>111</v>
      </c>
      <c r="D5" s="49" t="s">
        <v>110</v>
      </c>
      <c r="E5" s="50" t="s">
        <v>112</v>
      </c>
      <c r="F5" s="49" t="s">
        <v>113</v>
      </c>
      <c r="G5" s="49"/>
      <c r="H5" s="49"/>
      <c r="I5" s="68"/>
      <c r="J5" s="37" t="s">
        <v>111</v>
      </c>
    </row>
    <row r="6" s="37" customFormat="1" ht="15" customHeight="1" spans="1:10">
      <c r="A6" s="51">
        <f>COUNTIF(F9:F993,"Passed")</f>
        <v>6</v>
      </c>
      <c r="B6" s="52">
        <f>COUNTIF(F9:F993,"Failed")</f>
        <v>0</v>
      </c>
      <c r="C6" s="52">
        <f>F6-E6-D6-B6-A6</f>
        <v>0</v>
      </c>
      <c r="D6" s="52">
        <f>COUNTIF(F$9:F$993,"Blocked")</f>
        <v>0</v>
      </c>
      <c r="E6" s="53">
        <f>COUNTIF(F$9:F$993,"Skipped")</f>
        <v>0</v>
      </c>
      <c r="F6" s="54">
        <f>COUNTA(A9:A993)</f>
        <v>6</v>
      </c>
      <c r="G6" s="54"/>
      <c r="H6" s="54"/>
      <c r="I6" s="68"/>
      <c r="J6" s="37" t="s">
        <v>112</v>
      </c>
    </row>
    <row r="7" s="37" customFormat="1" ht="15" customHeight="1" spans="4:9">
      <c r="D7" s="55"/>
      <c r="E7" s="55"/>
      <c r="F7" s="56"/>
      <c r="G7" s="56"/>
      <c r="H7" s="56"/>
      <c r="I7" s="68"/>
    </row>
    <row r="8" s="37" customFormat="1" ht="25.5" customHeight="1" spans="1:9">
      <c r="A8" s="57" t="s">
        <v>114</v>
      </c>
      <c r="B8" s="57" t="s">
        <v>115</v>
      </c>
      <c r="C8" s="57" t="s">
        <v>116</v>
      </c>
      <c r="D8" s="57" t="s">
        <v>117</v>
      </c>
      <c r="E8" s="58" t="s">
        <v>118</v>
      </c>
      <c r="F8" s="58" t="s">
        <v>119</v>
      </c>
      <c r="G8" s="58" t="s">
        <v>120</v>
      </c>
      <c r="H8" s="57" t="s">
        <v>35</v>
      </c>
      <c r="I8" s="69"/>
    </row>
    <row r="9" s="37" customFormat="1" ht="15.75" customHeight="1" spans="1:9">
      <c r="A9" s="59"/>
      <c r="B9" s="59" t="s">
        <v>121</v>
      </c>
      <c r="C9" s="60"/>
      <c r="D9" s="60"/>
      <c r="E9" s="60"/>
      <c r="F9" s="60"/>
      <c r="G9" s="60"/>
      <c r="H9" s="61"/>
      <c r="I9" s="70"/>
    </row>
    <row r="10" ht="38.25" spans="1:9">
      <c r="A10" s="62" t="s">
        <v>122</v>
      </c>
      <c r="B10" s="62" t="s">
        <v>123</v>
      </c>
      <c r="C10" s="62" t="s">
        <v>124</v>
      </c>
      <c r="D10" s="63" t="s">
        <v>125</v>
      </c>
      <c r="E10" s="63"/>
      <c r="F10" s="62" t="s">
        <v>104</v>
      </c>
      <c r="G10" s="62" t="s">
        <v>126</v>
      </c>
      <c r="H10" s="64" t="s">
        <v>127</v>
      </c>
      <c r="I10" s="71"/>
    </row>
    <row r="11" ht="38.25" spans="1:9">
      <c r="A11" s="62" t="s">
        <v>128</v>
      </c>
      <c r="B11" s="62" t="s">
        <v>129</v>
      </c>
      <c r="C11" s="62" t="s">
        <v>130</v>
      </c>
      <c r="D11" s="63" t="s">
        <v>131</v>
      </c>
      <c r="E11" s="63"/>
      <c r="F11" s="62" t="s">
        <v>104</v>
      </c>
      <c r="G11" s="62" t="s">
        <v>126</v>
      </c>
      <c r="H11" s="64"/>
      <c r="I11" s="71"/>
    </row>
    <row r="12" ht="51" spans="1:9">
      <c r="A12" s="62" t="s">
        <v>132</v>
      </c>
      <c r="B12" s="62" t="s">
        <v>133</v>
      </c>
      <c r="C12" s="62" t="s">
        <v>134</v>
      </c>
      <c r="D12" s="63" t="s">
        <v>135</v>
      </c>
      <c r="E12" s="63"/>
      <c r="F12" s="62" t="s">
        <v>104</v>
      </c>
      <c r="G12" s="62" t="s">
        <v>126</v>
      </c>
      <c r="H12" s="64" t="s">
        <v>136</v>
      </c>
      <c r="I12" s="71"/>
    </row>
    <row r="13" ht="38.25" spans="1:9">
      <c r="A13" s="62" t="s">
        <v>137</v>
      </c>
      <c r="B13" s="62" t="s">
        <v>138</v>
      </c>
      <c r="C13" s="62" t="s">
        <v>139</v>
      </c>
      <c r="D13" s="63" t="s">
        <v>140</v>
      </c>
      <c r="E13" s="63"/>
      <c r="F13" s="62" t="s">
        <v>104</v>
      </c>
      <c r="G13" s="62" t="s">
        <v>126</v>
      </c>
      <c r="H13" s="64"/>
      <c r="I13" s="71"/>
    </row>
    <row r="14" ht="38.25" spans="1:9">
      <c r="A14" s="62" t="s">
        <v>141</v>
      </c>
      <c r="B14" s="62" t="s">
        <v>142</v>
      </c>
      <c r="C14" s="62" t="s">
        <v>143</v>
      </c>
      <c r="D14" s="63" t="s">
        <v>144</v>
      </c>
      <c r="E14" s="63"/>
      <c r="F14" s="62" t="s">
        <v>104</v>
      </c>
      <c r="G14" s="62" t="s">
        <v>126</v>
      </c>
      <c r="H14" s="64" t="s">
        <v>145</v>
      </c>
      <c r="I14" s="71"/>
    </row>
    <row r="15" ht="38.25" spans="1:9">
      <c r="A15" s="62" t="s">
        <v>146</v>
      </c>
      <c r="B15" s="62" t="s">
        <v>147</v>
      </c>
      <c r="C15" s="62" t="s">
        <v>148</v>
      </c>
      <c r="D15" s="63" t="s">
        <v>149</v>
      </c>
      <c r="E15" s="63" t="s">
        <v>150</v>
      </c>
      <c r="F15" s="62" t="s">
        <v>104</v>
      </c>
      <c r="G15" s="62" t="s">
        <v>126</v>
      </c>
      <c r="H15" s="64" t="s">
        <v>151</v>
      </c>
      <c r="I15" s="7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2">
      <formula1>$J$2:$J$6</formula1>
    </dataValidation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6"/>
  <sheetViews>
    <sheetView tabSelected="1" workbookViewId="0">
      <pane ySplit="8" topLeftCell="A9" activePane="bottomLeft" state="frozen"/>
      <selection/>
      <selection pane="bottomLeft" activeCell="D20" sqref="D20"/>
    </sheetView>
  </sheetViews>
  <sheetFormatPr defaultColWidth="9" defaultRowHeight="12.75"/>
  <cols>
    <col min="1" max="1" width="11.75" style="38" customWidth="1"/>
    <col min="2" max="2" width="29" style="38" customWidth="1"/>
    <col min="3" max="3" width="38.375" style="38" customWidth="1"/>
    <col min="4" max="4" width="44.375" style="38" customWidth="1"/>
    <col min="5" max="5" width="16.875" style="38" customWidth="1"/>
    <col min="6" max="6" width="7.125" style="38" customWidth="1"/>
    <col min="7" max="7" width="9" style="38"/>
    <col min="8" max="8" width="17.625" style="38" customWidth="1"/>
    <col min="9" max="9" width="8.25" style="39" customWidth="1"/>
    <col min="10" max="10" width="9" style="38" hidden="1" customWidth="1"/>
    <col min="11" max="16384" width="9" style="38"/>
  </cols>
  <sheetData>
    <row r="1" s="37" customFormat="1" ht="13.5" spans="1:9">
      <c r="A1" s="40"/>
      <c r="B1" s="41"/>
      <c r="C1" s="41"/>
      <c r="D1" s="41"/>
      <c r="E1" s="41"/>
      <c r="F1" s="42"/>
      <c r="G1" s="43"/>
      <c r="H1" s="44"/>
      <c r="I1" s="67"/>
    </row>
    <row r="2" s="37" customFormat="1" ht="15" customHeight="1" spans="1:10">
      <c r="A2" s="45" t="s">
        <v>102</v>
      </c>
      <c r="B2" s="46" t="s">
        <v>152</v>
      </c>
      <c r="C2" s="46"/>
      <c r="D2" s="46"/>
      <c r="E2" s="46"/>
      <c r="F2" s="46"/>
      <c r="G2" s="46"/>
      <c r="H2" s="46"/>
      <c r="I2" s="67"/>
      <c r="J2" s="37" t="s">
        <v>104</v>
      </c>
    </row>
    <row r="3" s="37" customFormat="1" ht="25.5" customHeight="1" spans="1:10">
      <c r="A3" s="47" t="s">
        <v>105</v>
      </c>
      <c r="B3" s="46" t="s">
        <v>106</v>
      </c>
      <c r="C3" s="46"/>
      <c r="D3" s="46"/>
      <c r="E3" s="46"/>
      <c r="F3" s="46"/>
      <c r="G3" s="46"/>
      <c r="H3" s="46"/>
      <c r="I3" s="67"/>
      <c r="J3" s="37" t="s">
        <v>107</v>
      </c>
    </row>
    <row r="4" s="37" customFormat="1" ht="18" customHeight="1" spans="1:10">
      <c r="A4" s="45" t="s">
        <v>108</v>
      </c>
      <c r="B4" s="46" t="s">
        <v>109</v>
      </c>
      <c r="C4" s="46"/>
      <c r="D4" s="46"/>
      <c r="E4" s="46"/>
      <c r="F4" s="46"/>
      <c r="G4" s="46"/>
      <c r="H4" s="46"/>
      <c r="I4" s="67"/>
      <c r="J4" s="37" t="s">
        <v>110</v>
      </c>
    </row>
    <row r="5" s="37" customFormat="1" ht="19.5" customHeight="1" spans="1:10">
      <c r="A5" s="48" t="s">
        <v>104</v>
      </c>
      <c r="B5" s="49" t="s">
        <v>107</v>
      </c>
      <c r="C5" s="49" t="s">
        <v>111</v>
      </c>
      <c r="D5" s="49" t="s">
        <v>110</v>
      </c>
      <c r="E5" s="50" t="s">
        <v>112</v>
      </c>
      <c r="F5" s="49" t="s">
        <v>113</v>
      </c>
      <c r="G5" s="49"/>
      <c r="H5" s="49"/>
      <c r="I5" s="68"/>
      <c r="J5" s="37" t="s">
        <v>111</v>
      </c>
    </row>
    <row r="6" s="37" customFormat="1" ht="15" customHeight="1" spans="1:10">
      <c r="A6" s="51">
        <f>COUNTIF(F9:F987,"Passed")</f>
        <v>7</v>
      </c>
      <c r="B6" s="52">
        <f>COUNTIF(F9:F987,"Failed")</f>
        <v>0</v>
      </c>
      <c r="C6" s="52">
        <f>F6-E6-D6-B6-A6</f>
        <v>0</v>
      </c>
      <c r="D6" s="52">
        <f>COUNTIF(F$9:F$987,"Blocked")</f>
        <v>0</v>
      </c>
      <c r="E6" s="53">
        <f>COUNTIF(F$9:F$987,"Skipped")</f>
        <v>0</v>
      </c>
      <c r="F6" s="54">
        <f>COUNTA(A9:A987)</f>
        <v>7</v>
      </c>
      <c r="G6" s="54"/>
      <c r="H6" s="54"/>
      <c r="I6" s="68"/>
      <c r="J6" s="37" t="s">
        <v>112</v>
      </c>
    </row>
    <row r="7" s="37" customFormat="1" ht="15" customHeight="1" spans="4:9">
      <c r="D7" s="55"/>
      <c r="E7" s="55"/>
      <c r="F7" s="56"/>
      <c r="G7" s="56"/>
      <c r="H7" s="56"/>
      <c r="I7" s="68"/>
    </row>
    <row r="8" s="37" customFormat="1" ht="25.5" customHeight="1" spans="1:9">
      <c r="A8" s="57" t="s">
        <v>114</v>
      </c>
      <c r="B8" s="57" t="s">
        <v>115</v>
      </c>
      <c r="C8" s="57" t="s">
        <v>116</v>
      </c>
      <c r="D8" s="57" t="s">
        <v>117</v>
      </c>
      <c r="E8" s="58" t="s">
        <v>118</v>
      </c>
      <c r="F8" s="58" t="s">
        <v>119</v>
      </c>
      <c r="G8" s="58" t="s">
        <v>120</v>
      </c>
      <c r="H8" s="57" t="s">
        <v>35</v>
      </c>
      <c r="I8" s="69"/>
    </row>
    <row r="9" s="37" customFormat="1" ht="15.75" customHeight="1" spans="1:9">
      <c r="A9" s="59"/>
      <c r="B9" s="59" t="s">
        <v>121</v>
      </c>
      <c r="C9" s="60"/>
      <c r="D9" s="60"/>
      <c r="E9" s="60"/>
      <c r="F9" s="60"/>
      <c r="G9" s="60"/>
      <c r="H9" s="61"/>
      <c r="I9" s="70"/>
    </row>
    <row r="10" ht="38.25" spans="1:9">
      <c r="A10" s="62" t="s">
        <v>153</v>
      </c>
      <c r="B10" s="62" t="s">
        <v>154</v>
      </c>
      <c r="C10" s="62" t="s">
        <v>155</v>
      </c>
      <c r="D10" s="63" t="s">
        <v>156</v>
      </c>
      <c r="E10" s="63"/>
      <c r="F10" s="62" t="s">
        <v>104</v>
      </c>
      <c r="G10" s="62" t="s">
        <v>126</v>
      </c>
      <c r="H10" s="64"/>
      <c r="I10" s="71"/>
    </row>
    <row r="11" ht="38.25" spans="1:9">
      <c r="A11" s="62" t="s">
        <v>157</v>
      </c>
      <c r="B11" s="62" t="s">
        <v>158</v>
      </c>
      <c r="C11" s="62" t="s">
        <v>159</v>
      </c>
      <c r="D11" s="63" t="s">
        <v>160</v>
      </c>
      <c r="E11" s="65" t="s">
        <v>161</v>
      </c>
      <c r="F11" s="62" t="s">
        <v>104</v>
      </c>
      <c r="G11" s="62" t="s">
        <v>126</v>
      </c>
      <c r="H11" s="64"/>
      <c r="I11" s="71"/>
    </row>
    <row r="12" ht="38.25" spans="1:9">
      <c r="A12" s="62" t="s">
        <v>162</v>
      </c>
      <c r="B12" s="62" t="s">
        <v>163</v>
      </c>
      <c r="C12" s="62" t="s">
        <v>164</v>
      </c>
      <c r="D12" s="63" t="s">
        <v>165</v>
      </c>
      <c r="E12" s="66"/>
      <c r="F12" s="62" t="s">
        <v>104</v>
      </c>
      <c r="G12" s="62" t="s">
        <v>126</v>
      </c>
      <c r="H12" s="64"/>
      <c r="I12" s="71"/>
    </row>
    <row r="13" ht="38.25" spans="1:9">
      <c r="A13" s="62" t="s">
        <v>166</v>
      </c>
      <c r="B13" s="62" t="s">
        <v>167</v>
      </c>
      <c r="C13" s="62" t="s">
        <v>168</v>
      </c>
      <c r="D13" s="63" t="s">
        <v>169</v>
      </c>
      <c r="E13" s="63" t="s">
        <v>170</v>
      </c>
      <c r="F13" s="62" t="s">
        <v>104</v>
      </c>
      <c r="G13" s="62" t="s">
        <v>126</v>
      </c>
      <c r="H13" s="64"/>
      <c r="I13" s="71"/>
    </row>
    <row r="14" ht="38.25" spans="1:9">
      <c r="A14" s="62" t="s">
        <v>171</v>
      </c>
      <c r="B14" s="62" t="s">
        <v>172</v>
      </c>
      <c r="C14" s="62" t="s">
        <v>173</v>
      </c>
      <c r="D14" s="63" t="s">
        <v>174</v>
      </c>
      <c r="E14" s="63" t="s">
        <v>175</v>
      </c>
      <c r="F14" s="62" t="s">
        <v>104</v>
      </c>
      <c r="G14" s="62" t="s">
        <v>126</v>
      </c>
      <c r="H14" s="64"/>
      <c r="I14" s="71"/>
    </row>
    <row r="15" ht="38.25" spans="1:8">
      <c r="A15" s="62" t="s">
        <v>176</v>
      </c>
      <c r="B15" s="62" t="s">
        <v>177</v>
      </c>
      <c r="C15" s="62" t="s">
        <v>178</v>
      </c>
      <c r="D15" s="63" t="s">
        <v>179</v>
      </c>
      <c r="E15" s="63" t="s">
        <v>175</v>
      </c>
      <c r="F15" s="62" t="s">
        <v>104</v>
      </c>
      <c r="G15" s="62" t="s">
        <v>126</v>
      </c>
      <c r="H15" s="64"/>
    </row>
    <row r="16" ht="38.25" spans="1:8">
      <c r="A16" s="62" t="s">
        <v>180</v>
      </c>
      <c r="B16" s="62" t="s">
        <v>181</v>
      </c>
      <c r="C16" s="62" t="s">
        <v>182</v>
      </c>
      <c r="D16" s="63" t="s">
        <v>183</v>
      </c>
      <c r="E16" s="63"/>
      <c r="F16" s="62" t="s">
        <v>104</v>
      </c>
      <c r="G16" s="62" t="s">
        <v>126</v>
      </c>
      <c r="H16" s="64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6 F17:F136">
      <formula1>$J$2:$J$6</formula1>
    </dataValidation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16"/>
  <sheetViews>
    <sheetView workbookViewId="0">
      <selection activeCell="C4" sqref="C4:D4"/>
    </sheetView>
  </sheetViews>
  <sheetFormatPr defaultColWidth="9" defaultRowHeight="12.75"/>
  <cols>
    <col min="1" max="1" width="9" style="1"/>
    <col min="2" max="2" width="13.5" style="1" customWidth="1"/>
    <col min="3" max="3" width="43" style="1" customWidth="1"/>
    <col min="4" max="4" width="9.5" style="1" customWidth="1"/>
    <col min="5" max="7" width="9" style="1"/>
    <col min="8" max="8" width="9.25" style="1" customWidth="1"/>
    <col min="9" max="9" width="23.5" style="1" customWidth="1"/>
    <col min="10" max="16384" width="9" style="1"/>
  </cols>
  <sheetData>
    <row r="1" ht="25.5" customHeight="1" spans="2:8">
      <c r="B1" s="2" t="s">
        <v>184</v>
      </c>
      <c r="C1" s="2"/>
      <c r="D1" s="2"/>
      <c r="E1" s="2"/>
      <c r="F1" s="2"/>
      <c r="G1" s="2"/>
      <c r="H1" s="2"/>
    </row>
    <row r="2" ht="14.25" customHeight="1" spans="1:8">
      <c r="A2" s="3"/>
      <c r="B2" s="3"/>
      <c r="C2" s="4"/>
      <c r="D2" s="4"/>
      <c r="E2" s="4"/>
      <c r="F2" s="4"/>
      <c r="G2" s="4"/>
      <c r="H2" s="5"/>
    </row>
    <row r="3" ht="12" customHeight="1" spans="2:8">
      <c r="B3" s="6" t="s">
        <v>1</v>
      </c>
      <c r="C3" s="7" t="s">
        <v>185</v>
      </c>
      <c r="D3" s="7"/>
      <c r="E3" s="8" t="s">
        <v>3</v>
      </c>
      <c r="F3" s="8"/>
      <c r="G3" s="9"/>
      <c r="H3" s="10"/>
    </row>
    <row r="4" ht="12" customHeight="1" spans="2:8">
      <c r="B4" s="6" t="s">
        <v>4</v>
      </c>
      <c r="C4" s="7" t="s">
        <v>5</v>
      </c>
      <c r="D4" s="7"/>
      <c r="E4" s="8" t="s">
        <v>6</v>
      </c>
      <c r="F4" s="8"/>
      <c r="G4" s="9"/>
      <c r="H4" s="10"/>
    </row>
    <row r="5" ht="12" customHeight="1" spans="2:8">
      <c r="B5" s="11" t="s">
        <v>7</v>
      </c>
      <c r="C5" s="7" t="str">
        <f>C4&amp;"_"&amp;"Test Report"&amp;"_"&amp;"vx.x"</f>
        <v>&lt;Project Code&gt;_Test Report_vx.x</v>
      </c>
      <c r="D5" s="7"/>
      <c r="E5" s="8" t="s">
        <v>8</v>
      </c>
      <c r="F5" s="8"/>
      <c r="G5" s="9"/>
      <c r="H5" s="12" t="s">
        <v>186</v>
      </c>
    </row>
    <row r="6" ht="21.75" customHeight="1" spans="1:8">
      <c r="A6" s="3"/>
      <c r="B6" s="11" t="s">
        <v>187</v>
      </c>
      <c r="C6" s="13" t="s">
        <v>188</v>
      </c>
      <c r="D6" s="13"/>
      <c r="E6" s="13"/>
      <c r="F6" s="13"/>
      <c r="G6" s="13"/>
      <c r="H6" s="13"/>
    </row>
    <row r="7" ht="14.25" customHeight="1" spans="1:8">
      <c r="A7" s="3"/>
      <c r="B7" s="14"/>
      <c r="C7" s="15"/>
      <c r="D7" s="4"/>
      <c r="E7" s="4"/>
      <c r="F7" s="4"/>
      <c r="G7" s="4"/>
      <c r="H7" s="5"/>
    </row>
    <row r="8" spans="2:8">
      <c r="B8" s="14"/>
      <c r="C8" s="15"/>
      <c r="D8" s="4"/>
      <c r="E8" s="4"/>
      <c r="F8" s="4"/>
      <c r="G8" s="4"/>
      <c r="H8" s="5"/>
    </row>
    <row r="9" spans="2:9">
      <c r="B9" s="16" t="s">
        <v>21</v>
      </c>
      <c r="C9" s="17" t="s">
        <v>189</v>
      </c>
      <c r="D9" s="18" t="s">
        <v>190</v>
      </c>
      <c r="E9" s="17" t="s">
        <v>191</v>
      </c>
      <c r="F9" s="17" t="s">
        <v>111</v>
      </c>
      <c r="G9" s="19" t="s">
        <v>110</v>
      </c>
      <c r="H9" s="20" t="s">
        <v>112</v>
      </c>
      <c r="I9" s="20" t="s">
        <v>192</v>
      </c>
    </row>
    <row r="10" spans="1:9">
      <c r="A10" s="21"/>
      <c r="B10" s="22">
        <v>1</v>
      </c>
      <c r="C10" s="23" t="str">
        <f>'Module 03'!B2</f>
        <v>TC03 - Advanced Playback Settings</v>
      </c>
      <c r="D10" s="24">
        <f>'Module 03'!A6</f>
        <v>6</v>
      </c>
      <c r="E10" s="24">
        <f>[1]Module1!B6</f>
        <v>0</v>
      </c>
      <c r="F10" s="24">
        <f>[1]Module1!C6</f>
        <v>0</v>
      </c>
      <c r="G10" s="24">
        <f>[1]Module1!D6</f>
        <v>0</v>
      </c>
      <c r="H10" s="24">
        <f>[1]Module1!E6</f>
        <v>0</v>
      </c>
      <c r="I10" s="24">
        <f>'Module 03'!F6</f>
        <v>6</v>
      </c>
    </row>
    <row r="11" spans="1:9">
      <c r="A11" s="21"/>
      <c r="B11" s="22">
        <v>2</v>
      </c>
      <c r="C11" s="23" t="str">
        <f>'Module 13'!B2</f>
        <v>TC13-Watch History and Continue Watching</v>
      </c>
      <c r="D11" s="24">
        <f>'Module 13'!A6</f>
        <v>7</v>
      </c>
      <c r="E11" s="24">
        <f>[1]Module2!B6</f>
        <v>0</v>
      </c>
      <c r="F11" s="24">
        <f>[1]Module2!C6</f>
        <v>0</v>
      </c>
      <c r="G11" s="24">
        <f>[1]Module2!D6</f>
        <v>0</v>
      </c>
      <c r="H11" s="24">
        <f>[1]Module2!E6</f>
        <v>0</v>
      </c>
      <c r="I11" s="24">
        <f>'Module 13'!F6</f>
        <v>7</v>
      </c>
    </row>
    <row r="12" spans="1:9">
      <c r="A12" s="21"/>
      <c r="B12" s="22"/>
      <c r="C12" s="23"/>
      <c r="D12" s="24"/>
      <c r="E12" s="24"/>
      <c r="F12" s="24"/>
      <c r="G12" s="25"/>
      <c r="H12" s="25"/>
      <c r="I12" s="36"/>
    </row>
    <row r="13" spans="1:9">
      <c r="A13" s="21"/>
      <c r="B13" s="26"/>
      <c r="C13" s="27" t="s">
        <v>193</v>
      </c>
      <c r="D13" s="28">
        <f>SUM(D8:D12)</f>
        <v>13</v>
      </c>
      <c r="E13" s="28">
        <f t="shared" ref="E13:I13" si="0">SUM(E8:E12)</f>
        <v>0</v>
      </c>
      <c r="F13" s="28">
        <f t="shared" si="0"/>
        <v>0</v>
      </c>
      <c r="G13" s="28">
        <f t="shared" si="0"/>
        <v>0</v>
      </c>
      <c r="H13" s="29">
        <f t="shared" si="0"/>
        <v>0</v>
      </c>
      <c r="I13" s="29">
        <f t="shared" si="0"/>
        <v>13</v>
      </c>
    </row>
    <row r="14" spans="2:8">
      <c r="B14" s="30"/>
      <c r="D14" s="31"/>
      <c r="E14" s="32"/>
      <c r="F14" s="32"/>
      <c r="G14" s="32"/>
      <c r="H14" s="32"/>
    </row>
    <row r="15" spans="3:8">
      <c r="C15" s="33" t="s">
        <v>194</v>
      </c>
      <c r="E15" s="34">
        <f>(D13+E13)*100/(I13-H13-G13)</f>
        <v>100</v>
      </c>
      <c r="F15" s="1" t="s">
        <v>195</v>
      </c>
      <c r="H15" s="35"/>
    </row>
    <row r="16" spans="3:8">
      <c r="C16" s="33" t="s">
        <v>196</v>
      </c>
      <c r="E16" s="34">
        <f>D13*100/(D13+E13)</f>
        <v>100</v>
      </c>
      <c r="F16" s="1" t="s">
        <v>195</v>
      </c>
      <c r="H16" s="35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5ED280E-F51D-42B1-B363-4EC477D089ED}">
  <ds:schemaRefs/>
</ds:datastoreItem>
</file>

<file path=customXml/itemProps2.xml><?xml version="1.0" encoding="utf-8"?>
<ds:datastoreItem xmlns:ds="http://schemas.openxmlformats.org/officeDocument/2006/customXml" ds:itemID="{B3FE153F-83E4-41FE-A9C4-8D6AD58A9EE7}">
  <ds:schemaRefs/>
</ds:datastoreItem>
</file>

<file path=customXml/itemProps3.xml><?xml version="1.0" encoding="utf-8"?>
<ds:datastoreItem xmlns:ds="http://schemas.openxmlformats.org/officeDocument/2006/customXml" ds:itemID="{898618FE-843B-48E6-B1F2-2AB76D41F4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FSOFT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Test case List</vt:lpstr>
      <vt:lpstr>TestDesign</vt:lpstr>
      <vt:lpstr>Module 03</vt:lpstr>
      <vt:lpstr>Module 13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Nguyễn Thanh Tú</dc:creator>
  <dc:description>Updates sheet Cover: Add logo, document code, creator, reviewer/approver.
Add sheet Test Case List.
Change Sheet Company, User, Provider to Modules. Add column Inter-test case dependent. Update these sheets.
Update Test Report</dc:description>
  <cp:lastModifiedBy>Quốc Trị Nguyễn Phạm</cp:lastModifiedBy>
  <dcterms:created xsi:type="dcterms:W3CDTF">2014-07-14T08:56:00Z</dcterms:created>
  <cp:lastPrinted>2010-11-12T10:33:00Z</cp:lastPrinted>
  <dcterms:modified xsi:type="dcterms:W3CDTF">2025-11-15T16:01:54Z</dcterms:modified>
  <cp:category>BM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179DF9D216F442978D4742733544DC42_13</vt:lpwstr>
  </property>
  <property fmtid="{D5CDD505-2E9C-101B-9397-08002B2CF9AE}" pid="3" name="KSOProductBuildVer">
    <vt:lpwstr>1033-12.2.0.22549</vt:lpwstr>
  </property>
</Properties>
</file>